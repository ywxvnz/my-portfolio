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in\Downloads\"/>
    </mc:Choice>
  </mc:AlternateContent>
  <xr:revisionPtr revIDLastSave="0" documentId="8_{30B76A97-5FFA-436C-81B3-43CE19E47D2B}" xr6:coauthVersionLast="45" xr6:coauthVersionMax="45" xr10:uidLastSave="{00000000-0000-0000-0000-000000000000}"/>
  <bookViews>
    <workbookView xWindow="-108" yWindow="-108" windowWidth="23256" windowHeight="12456" xr2:uid="{596825A3-C32B-4658-BCFB-7BDF880BA1CB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4" i="1" l="1"/>
  <c r="N123" i="1"/>
  <c r="O123" i="1" s="1"/>
  <c r="E123" i="1"/>
  <c r="F123" i="1" s="1"/>
  <c r="N122" i="1"/>
  <c r="O122" i="1" s="1"/>
  <c r="E122" i="1"/>
  <c r="F122" i="1" s="1"/>
  <c r="N121" i="1"/>
  <c r="O121" i="1" s="1"/>
  <c r="E121" i="1"/>
  <c r="F121" i="1" s="1"/>
  <c r="N120" i="1"/>
  <c r="O120" i="1" s="1"/>
  <c r="E120" i="1"/>
  <c r="F120" i="1" s="1"/>
  <c r="N119" i="1"/>
  <c r="O119" i="1" s="1"/>
  <c r="F119" i="1"/>
  <c r="E119" i="1"/>
  <c r="N118" i="1"/>
  <c r="O118" i="1" s="1"/>
  <c r="E118" i="1"/>
  <c r="F118" i="1" s="1"/>
  <c r="N117" i="1"/>
  <c r="O117" i="1" s="1"/>
  <c r="E117" i="1"/>
  <c r="F117" i="1" s="1"/>
  <c r="N116" i="1"/>
  <c r="O116" i="1" s="1"/>
  <c r="E116" i="1"/>
  <c r="F116" i="1" s="1"/>
  <c r="N115" i="1"/>
  <c r="O115" i="1" s="1"/>
  <c r="E115" i="1"/>
  <c r="F115" i="1" s="1"/>
  <c r="N114" i="1"/>
  <c r="E114" i="1"/>
  <c r="F114" i="1" s="1"/>
  <c r="N113" i="1"/>
  <c r="O113" i="1" s="1"/>
  <c r="E113" i="1"/>
  <c r="F113" i="1" s="1"/>
  <c r="N112" i="1"/>
  <c r="O112" i="1" s="1"/>
  <c r="E112" i="1"/>
  <c r="F112" i="1" s="1"/>
  <c r="N111" i="1"/>
  <c r="O111" i="1" s="1"/>
  <c r="E111" i="1"/>
  <c r="F111" i="1" s="1"/>
  <c r="N110" i="1"/>
  <c r="O110" i="1" s="1"/>
  <c r="E110" i="1"/>
  <c r="F110" i="1" s="1"/>
  <c r="N109" i="1"/>
  <c r="O109" i="1" s="1"/>
  <c r="E109" i="1"/>
  <c r="F109" i="1" s="1"/>
  <c r="N108" i="1"/>
  <c r="O108" i="1" s="1"/>
  <c r="E108" i="1"/>
  <c r="O87" i="1"/>
  <c r="O92" i="1"/>
  <c r="O96" i="1"/>
  <c r="N90" i="1"/>
  <c r="E84" i="1"/>
  <c r="F84" i="1" s="1"/>
  <c r="N84" i="1"/>
  <c r="O84" i="1" s="1"/>
  <c r="E85" i="1"/>
  <c r="F85" i="1" s="1"/>
  <c r="N85" i="1"/>
  <c r="O85" i="1" s="1"/>
  <c r="E86" i="1"/>
  <c r="F86" i="1" s="1"/>
  <c r="N86" i="1"/>
  <c r="O86" i="1" s="1"/>
  <c r="E87" i="1"/>
  <c r="F87" i="1" s="1"/>
  <c r="N87" i="1"/>
  <c r="E88" i="1"/>
  <c r="F88" i="1" s="1"/>
  <c r="N88" i="1"/>
  <c r="O88" i="1" s="1"/>
  <c r="E89" i="1"/>
  <c r="F89" i="1" s="1"/>
  <c r="N89" i="1"/>
  <c r="O89" i="1" s="1"/>
  <c r="E90" i="1"/>
  <c r="F90" i="1" s="1"/>
  <c r="E91" i="1"/>
  <c r="F91" i="1" s="1"/>
  <c r="N91" i="1"/>
  <c r="O91" i="1" s="1"/>
  <c r="E92" i="1"/>
  <c r="F92" i="1" s="1"/>
  <c r="N92" i="1"/>
  <c r="E93" i="1"/>
  <c r="F93" i="1" s="1"/>
  <c r="N93" i="1"/>
  <c r="O93" i="1" s="1"/>
  <c r="E94" i="1"/>
  <c r="F94" i="1" s="1"/>
  <c r="N94" i="1"/>
  <c r="O94" i="1" s="1"/>
  <c r="E95" i="1"/>
  <c r="F95" i="1" s="1"/>
  <c r="N95" i="1"/>
  <c r="O95" i="1" s="1"/>
  <c r="E96" i="1"/>
  <c r="F96" i="1" s="1"/>
  <c r="N96" i="1"/>
  <c r="E97" i="1"/>
  <c r="F97" i="1" s="1"/>
  <c r="N97" i="1"/>
  <c r="O97" i="1" s="1"/>
  <c r="E98" i="1"/>
  <c r="F98" i="1" s="1"/>
  <c r="N98" i="1"/>
  <c r="O98" i="1" s="1"/>
  <c r="E99" i="1"/>
  <c r="F99" i="1" s="1"/>
  <c r="N99" i="1"/>
  <c r="O99" i="1" s="1"/>
  <c r="N38" i="1"/>
  <c r="O38" i="1" s="1"/>
  <c r="E124" i="1" l="1"/>
  <c r="O124" i="1"/>
  <c r="O105" i="1" s="1"/>
  <c r="O106" i="1" s="1"/>
  <c r="F108" i="1"/>
  <c r="N124" i="1"/>
  <c r="N100" i="1"/>
  <c r="O100" i="1"/>
  <c r="O81" i="1" s="1"/>
  <c r="F100" i="1"/>
  <c r="F81" i="1" s="1"/>
  <c r="F82" i="1" s="1"/>
  <c r="E100" i="1"/>
  <c r="G121" i="1" l="1"/>
  <c r="H121" i="1" s="1"/>
  <c r="G115" i="1"/>
  <c r="H115" i="1" s="1"/>
  <c r="G111" i="1"/>
  <c r="H111" i="1" s="1"/>
  <c r="G88" i="1"/>
  <c r="G92" i="1"/>
  <c r="G96" i="1"/>
  <c r="G84" i="1"/>
  <c r="G110" i="1"/>
  <c r="H110" i="1" s="1"/>
  <c r="G91" i="1"/>
  <c r="G123" i="1"/>
  <c r="H123" i="1" s="1"/>
  <c r="G122" i="1"/>
  <c r="H122" i="1" s="1"/>
  <c r="G117" i="1"/>
  <c r="H117" i="1" s="1"/>
  <c r="G116" i="1"/>
  <c r="H116" i="1" s="1"/>
  <c r="G112" i="1"/>
  <c r="H112" i="1" s="1"/>
  <c r="G108" i="1"/>
  <c r="G85" i="1"/>
  <c r="G89" i="1"/>
  <c r="G93" i="1"/>
  <c r="G97" i="1"/>
  <c r="G87" i="1"/>
  <c r="G95" i="1"/>
  <c r="G99" i="1"/>
  <c r="G119" i="1"/>
  <c r="H119" i="1" s="1"/>
  <c r="G118" i="1"/>
  <c r="H118" i="1" s="1"/>
  <c r="G113" i="1"/>
  <c r="H113" i="1" s="1"/>
  <c r="G109" i="1"/>
  <c r="H109" i="1" s="1"/>
  <c r="G86" i="1"/>
  <c r="G90" i="1"/>
  <c r="G94" i="1"/>
  <c r="G98" i="1"/>
  <c r="G120" i="1"/>
  <c r="H120" i="1" s="1"/>
  <c r="G114" i="1"/>
  <c r="H114" i="1" s="1"/>
  <c r="O82" i="1"/>
  <c r="P93" i="1" s="1"/>
  <c r="Q93" i="1" s="1"/>
  <c r="F124" i="1"/>
  <c r="F105" i="1" s="1"/>
  <c r="F106" i="1" s="1"/>
  <c r="H108" i="1"/>
  <c r="H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3" i="1"/>
  <c r="Q113" i="1" s="1"/>
  <c r="P112" i="1"/>
  <c r="Q112" i="1" s="1"/>
  <c r="P111" i="1"/>
  <c r="Q111" i="1" s="1"/>
  <c r="P110" i="1"/>
  <c r="Q110" i="1" s="1"/>
  <c r="P109" i="1"/>
  <c r="Q109" i="1" s="1"/>
  <c r="P108" i="1"/>
  <c r="P115" i="1"/>
  <c r="Q115" i="1" s="1"/>
  <c r="P114" i="1"/>
  <c r="Q114" i="1" s="1"/>
  <c r="P88" i="1"/>
  <c r="Q88" i="1" s="1"/>
  <c r="P96" i="1"/>
  <c r="Q96" i="1" s="1"/>
  <c r="P92" i="1"/>
  <c r="Q92" i="1" s="1"/>
  <c r="P87" i="1"/>
  <c r="Q87" i="1" s="1"/>
  <c r="P99" i="1"/>
  <c r="Q99" i="1" s="1"/>
  <c r="P95" i="1"/>
  <c r="Q95" i="1" s="1"/>
  <c r="P91" i="1"/>
  <c r="Q91" i="1" s="1"/>
  <c r="P84" i="1"/>
  <c r="Q84" i="1" s="1"/>
  <c r="P86" i="1"/>
  <c r="Q86" i="1" s="1"/>
  <c r="P98" i="1"/>
  <c r="Q98" i="1" s="1"/>
  <c r="P94" i="1"/>
  <c r="Q94" i="1" s="1"/>
  <c r="P90" i="1"/>
  <c r="Q90" i="1" s="1"/>
  <c r="P89" i="1"/>
  <c r="Q89" i="1" s="1"/>
  <c r="P85" i="1"/>
  <c r="Q85" i="1" s="1"/>
  <c r="P97" i="1"/>
  <c r="Q97" i="1" s="1"/>
  <c r="E73" i="1"/>
  <c r="F73" i="1" s="1"/>
  <c r="N75" i="1"/>
  <c r="O75" i="1" s="1"/>
  <c r="E75" i="1"/>
  <c r="F75" i="1" s="1"/>
  <c r="N74" i="1"/>
  <c r="O74" i="1" s="1"/>
  <c r="E74" i="1"/>
  <c r="F74" i="1" s="1"/>
  <c r="N73" i="1"/>
  <c r="O73" i="1" s="1"/>
  <c r="N72" i="1"/>
  <c r="O72" i="1" s="1"/>
  <c r="E72" i="1"/>
  <c r="F72" i="1" s="1"/>
  <c r="N71" i="1"/>
  <c r="O71" i="1" s="1"/>
  <c r="E71" i="1"/>
  <c r="F71" i="1" s="1"/>
  <c r="N70" i="1"/>
  <c r="O70" i="1" s="1"/>
  <c r="E70" i="1"/>
  <c r="F70" i="1" s="1"/>
  <c r="N69" i="1"/>
  <c r="O69" i="1" s="1"/>
  <c r="E69" i="1"/>
  <c r="F69" i="1" s="1"/>
  <c r="N68" i="1"/>
  <c r="O68" i="1" s="1"/>
  <c r="E68" i="1"/>
  <c r="F68" i="1" s="1"/>
  <c r="N67" i="1"/>
  <c r="O67" i="1" s="1"/>
  <c r="E67" i="1"/>
  <c r="F67" i="1" s="1"/>
  <c r="E66" i="1"/>
  <c r="F66" i="1" s="1"/>
  <c r="N65" i="1"/>
  <c r="O65" i="1" s="1"/>
  <c r="E65" i="1"/>
  <c r="F65" i="1" s="1"/>
  <c r="N64" i="1"/>
  <c r="O64" i="1" s="1"/>
  <c r="E64" i="1"/>
  <c r="F64" i="1" s="1"/>
  <c r="N63" i="1"/>
  <c r="O63" i="1" s="1"/>
  <c r="E63" i="1"/>
  <c r="F63" i="1" s="1"/>
  <c r="N62" i="1"/>
  <c r="O62" i="1" s="1"/>
  <c r="E62" i="1"/>
  <c r="F62" i="1" s="1"/>
  <c r="N61" i="1"/>
  <c r="O61" i="1" s="1"/>
  <c r="E61" i="1"/>
  <c r="F61" i="1" s="1"/>
  <c r="N60" i="1"/>
  <c r="O60" i="1" s="1"/>
  <c r="E60" i="1"/>
  <c r="F60" i="1" s="1"/>
  <c r="E49" i="1"/>
  <c r="F49" i="1"/>
  <c r="E36" i="1"/>
  <c r="F36" i="1" s="1"/>
  <c r="N37" i="1"/>
  <c r="O37" i="1" s="1"/>
  <c r="N51" i="1"/>
  <c r="O51" i="1" s="1"/>
  <c r="E51" i="1"/>
  <c r="F51" i="1" s="1"/>
  <c r="N50" i="1"/>
  <c r="O50" i="1" s="1"/>
  <c r="E50" i="1"/>
  <c r="N49" i="1"/>
  <c r="O49" i="1" s="1"/>
  <c r="N48" i="1"/>
  <c r="O48" i="1" s="1"/>
  <c r="E48" i="1"/>
  <c r="F48" i="1" s="1"/>
  <c r="N47" i="1"/>
  <c r="O47" i="1" s="1"/>
  <c r="E47" i="1"/>
  <c r="F47" i="1" s="1"/>
  <c r="N46" i="1"/>
  <c r="O46" i="1" s="1"/>
  <c r="E46" i="1"/>
  <c r="N45" i="1"/>
  <c r="O45" i="1" s="1"/>
  <c r="E45" i="1"/>
  <c r="N44" i="1"/>
  <c r="O44" i="1" s="1"/>
  <c r="E44" i="1"/>
  <c r="F44" i="1" s="1"/>
  <c r="N43" i="1"/>
  <c r="O43" i="1" s="1"/>
  <c r="E43" i="1"/>
  <c r="F43" i="1" s="1"/>
  <c r="N42" i="1"/>
  <c r="O42" i="1" s="1"/>
  <c r="E42" i="1"/>
  <c r="N41" i="1"/>
  <c r="O41" i="1" s="1"/>
  <c r="E41" i="1"/>
  <c r="N40" i="1"/>
  <c r="O40" i="1" s="1"/>
  <c r="E40" i="1"/>
  <c r="F40" i="1" s="1"/>
  <c r="N39" i="1"/>
  <c r="O39" i="1" s="1"/>
  <c r="E39" i="1"/>
  <c r="F39" i="1" s="1"/>
  <c r="E38" i="1"/>
  <c r="E37" i="1"/>
  <c r="N36" i="1"/>
  <c r="O36" i="1" s="1"/>
  <c r="E11" i="1"/>
  <c r="G124" i="1" l="1"/>
  <c r="P124" i="1"/>
  <c r="Q108" i="1"/>
  <c r="Q124" i="1" s="1"/>
  <c r="P100" i="1"/>
  <c r="Q100" i="1"/>
  <c r="O52" i="1"/>
  <c r="F46" i="1"/>
  <c r="F42" i="1"/>
  <c r="F38" i="1"/>
  <c r="F50" i="1"/>
  <c r="F45" i="1"/>
  <c r="F41" i="1"/>
  <c r="F37" i="1"/>
  <c r="O76" i="1"/>
  <c r="O57" i="1" s="1"/>
  <c r="O58" i="1" s="1"/>
  <c r="F76" i="1"/>
  <c r="F57" i="1" s="1"/>
  <c r="E76" i="1"/>
  <c r="N76" i="1"/>
  <c r="E52" i="1"/>
  <c r="N52" i="1"/>
  <c r="H27" i="1"/>
  <c r="O27" i="1"/>
  <c r="N16" i="1"/>
  <c r="O16" i="1" s="1"/>
  <c r="N10" i="1"/>
  <c r="O10" i="1" s="1"/>
  <c r="P75" i="1" l="1"/>
  <c r="Q75" i="1" s="1"/>
  <c r="P66" i="1"/>
  <c r="Q66" i="1" s="1"/>
  <c r="P71" i="1"/>
  <c r="Q71" i="1" s="1"/>
  <c r="P67" i="1"/>
  <c r="Q67" i="1" s="1"/>
  <c r="P63" i="1"/>
  <c r="Q63" i="1" s="1"/>
  <c r="P74" i="1"/>
  <c r="Q74" i="1" s="1"/>
  <c r="P70" i="1"/>
  <c r="Q70" i="1" s="1"/>
  <c r="P62" i="1"/>
  <c r="Q62" i="1" s="1"/>
  <c r="P73" i="1"/>
  <c r="Q73" i="1" s="1"/>
  <c r="P69" i="1"/>
  <c r="Q69" i="1" s="1"/>
  <c r="P65" i="1"/>
  <c r="Q65" i="1" s="1"/>
  <c r="P61" i="1"/>
  <c r="Q61" i="1" s="1"/>
  <c r="P72" i="1"/>
  <c r="Q72" i="1" s="1"/>
  <c r="P68" i="1"/>
  <c r="Q68" i="1" s="1"/>
  <c r="P64" i="1"/>
  <c r="Q64" i="1" s="1"/>
  <c r="P60" i="1"/>
  <c r="Q60" i="1" s="1"/>
  <c r="F58" i="1"/>
  <c r="F52" i="1"/>
  <c r="F33" i="1" s="1"/>
  <c r="F34" i="1" s="1"/>
  <c r="G26" i="1"/>
  <c r="G28" i="1" s="1"/>
  <c r="E10" i="1"/>
  <c r="F10" i="1" s="1"/>
  <c r="H10" i="1" s="1"/>
  <c r="H87" i="1" l="1"/>
  <c r="H97" i="1"/>
  <c r="H85" i="1"/>
  <c r="H86" i="1"/>
  <c r="H90" i="1"/>
  <c r="H96" i="1"/>
  <c r="H89" i="1"/>
  <c r="H95" i="1"/>
  <c r="H88" i="1"/>
  <c r="H93" i="1"/>
  <c r="H98" i="1"/>
  <c r="H91" i="1"/>
  <c r="H92" i="1"/>
  <c r="H94" i="1"/>
  <c r="H99" i="1"/>
  <c r="Q76" i="1"/>
  <c r="P76" i="1"/>
  <c r="O33" i="1"/>
  <c r="O34" i="1" s="1"/>
  <c r="G64" i="1"/>
  <c r="H64" i="1" s="1"/>
  <c r="G68" i="1"/>
  <c r="H68" i="1" s="1"/>
  <c r="G72" i="1"/>
  <c r="H72" i="1" s="1"/>
  <c r="G60" i="1"/>
  <c r="G61" i="1"/>
  <c r="G65" i="1"/>
  <c r="H65" i="1" s="1"/>
  <c r="G69" i="1"/>
  <c r="H69" i="1" s="1"/>
  <c r="G73" i="1"/>
  <c r="H73" i="1" s="1"/>
  <c r="G62" i="1"/>
  <c r="H62" i="1" s="1"/>
  <c r="G66" i="1"/>
  <c r="H66" i="1" s="1"/>
  <c r="G70" i="1"/>
  <c r="H70" i="1" s="1"/>
  <c r="G74" i="1"/>
  <c r="H74" i="1" s="1"/>
  <c r="G63" i="1"/>
  <c r="H63" i="1" s="1"/>
  <c r="G67" i="1"/>
  <c r="H67" i="1" s="1"/>
  <c r="G71" i="1"/>
  <c r="H71" i="1" s="1"/>
  <c r="G75" i="1"/>
  <c r="H75" i="1" s="1"/>
  <c r="H61" i="1"/>
  <c r="G40" i="1"/>
  <c r="H40" i="1" s="1"/>
  <c r="G44" i="1"/>
  <c r="H44" i="1" s="1"/>
  <c r="G48" i="1"/>
  <c r="H48" i="1" s="1"/>
  <c r="G36" i="1"/>
  <c r="G37" i="1"/>
  <c r="H37" i="1" s="1"/>
  <c r="G41" i="1"/>
  <c r="H41" i="1" s="1"/>
  <c r="G45" i="1"/>
  <c r="H45" i="1" s="1"/>
  <c r="G49" i="1"/>
  <c r="H49" i="1" s="1"/>
  <c r="G38" i="1"/>
  <c r="H38" i="1" s="1"/>
  <c r="G42" i="1"/>
  <c r="H42" i="1" s="1"/>
  <c r="G46" i="1"/>
  <c r="H46" i="1" s="1"/>
  <c r="G50" i="1"/>
  <c r="H50" i="1" s="1"/>
  <c r="G39" i="1"/>
  <c r="H39" i="1" s="1"/>
  <c r="G43" i="1"/>
  <c r="H43" i="1" s="1"/>
  <c r="G47" i="1"/>
  <c r="H47" i="1" s="1"/>
  <c r="G51" i="1"/>
  <c r="H51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5" i="1"/>
  <c r="O15" i="1" s="1"/>
  <c r="N14" i="1"/>
  <c r="O14" i="1" s="1"/>
  <c r="N13" i="1"/>
  <c r="O13" i="1" s="1"/>
  <c r="N12" i="1"/>
  <c r="O12" i="1" s="1"/>
  <c r="N11" i="1"/>
  <c r="F11" i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G100" i="1" l="1"/>
  <c r="H84" i="1"/>
  <c r="H100" i="1" s="1"/>
  <c r="P39" i="1"/>
  <c r="Q39" i="1" s="1"/>
  <c r="P48" i="1"/>
  <c r="Q48" i="1" s="1"/>
  <c r="P38" i="1"/>
  <c r="Q38" i="1" s="1"/>
  <c r="P37" i="1"/>
  <c r="Q37" i="1" s="1"/>
  <c r="P51" i="1"/>
  <c r="Q51" i="1" s="1"/>
  <c r="P40" i="1"/>
  <c r="Q40" i="1" s="1"/>
  <c r="P44" i="1"/>
  <c r="Q44" i="1" s="1"/>
  <c r="P49" i="1"/>
  <c r="Q49" i="1" s="1"/>
  <c r="P42" i="1"/>
  <c r="Q42" i="1" s="1"/>
  <c r="P41" i="1"/>
  <c r="Q41" i="1" s="1"/>
  <c r="P47" i="1"/>
  <c r="Q47" i="1" s="1"/>
  <c r="P36" i="1"/>
  <c r="P50" i="1"/>
  <c r="Q50" i="1" s="1"/>
  <c r="P45" i="1"/>
  <c r="Q45" i="1" s="1"/>
  <c r="P43" i="1"/>
  <c r="Q43" i="1" s="1"/>
  <c r="P46" i="1"/>
  <c r="Q46" i="1" s="1"/>
  <c r="G52" i="1"/>
  <c r="H36" i="1"/>
  <c r="H52" i="1" s="1"/>
  <c r="G76" i="1"/>
  <c r="H60" i="1"/>
  <c r="H76" i="1" s="1"/>
  <c r="O11" i="1"/>
  <c r="N26" i="1"/>
  <c r="N28" i="1" s="1"/>
  <c r="H26" i="1"/>
  <c r="H28" i="1" s="1"/>
  <c r="F26" i="1"/>
  <c r="F28" i="1" s="1"/>
  <c r="E26" i="1"/>
  <c r="P52" i="1" l="1"/>
  <c r="Q36" i="1"/>
  <c r="Q52" i="1" s="1"/>
  <c r="O26" i="1"/>
  <c r="O28" i="1" s="1"/>
  <c r="O7" i="1" s="1"/>
  <c r="O8" i="1" s="1"/>
  <c r="P10" i="1" s="1"/>
  <c r="F7" i="1"/>
  <c r="F8" i="1" s="1"/>
  <c r="P27" i="1" l="1"/>
  <c r="Q27" i="1" s="1"/>
  <c r="P22" i="1"/>
  <c r="Q22" i="1" s="1"/>
  <c r="P18" i="1"/>
  <c r="P14" i="1"/>
  <c r="Q14" i="1" s="1"/>
  <c r="Q10" i="1"/>
  <c r="P13" i="1"/>
  <c r="Q13" i="1" s="1"/>
  <c r="P23" i="1"/>
  <c r="Q23" i="1" s="1"/>
  <c r="P19" i="1"/>
  <c r="Q19" i="1" s="1"/>
  <c r="P11" i="1"/>
  <c r="Q11" i="1" s="1"/>
  <c r="P25" i="1"/>
  <c r="Q25" i="1" s="1"/>
  <c r="P21" i="1"/>
  <c r="Q21" i="1" s="1"/>
  <c r="P17" i="1"/>
  <c r="Q17" i="1" s="1"/>
  <c r="P24" i="1"/>
  <c r="Q24" i="1" s="1"/>
  <c r="P20" i="1"/>
  <c r="Q20" i="1" s="1"/>
  <c r="P16" i="1"/>
  <c r="Q16" i="1" s="1"/>
  <c r="P12" i="1"/>
  <c r="Q12" i="1" s="1"/>
  <c r="P15" i="1"/>
  <c r="Q15" i="1" s="1"/>
  <c r="P26" i="1" l="1"/>
  <c r="P28" i="1" s="1"/>
  <c r="Q18" i="1"/>
  <c r="Q26" i="1" s="1"/>
  <c r="Q28" i="1" s="1"/>
</calcChain>
</file>

<file path=xl/sharedStrings.xml><?xml version="1.0" encoding="utf-8"?>
<sst xmlns="http://schemas.openxmlformats.org/spreadsheetml/2006/main" count="532" uniqueCount="54">
  <si>
    <t>PREVIOUS</t>
  </si>
  <si>
    <t>PRESENT</t>
  </si>
  <si>
    <t>Main</t>
  </si>
  <si>
    <t>NAME</t>
  </si>
  <si>
    <t>JULY</t>
  </si>
  <si>
    <t>6, 7</t>
  </si>
  <si>
    <t>Meralco</t>
  </si>
  <si>
    <t>Prime Water</t>
  </si>
  <si>
    <t>ROOM NO.</t>
  </si>
  <si>
    <t>CONSUMPTION (kWh)</t>
  </si>
  <si>
    <t>BILL AMOUNT</t>
  </si>
  <si>
    <t>Ronel</t>
  </si>
  <si>
    <t>Flor</t>
  </si>
  <si>
    <t>Jose</t>
  </si>
  <si>
    <t>Mario</t>
  </si>
  <si>
    <t>Ariel</t>
  </si>
  <si>
    <t>Robert</t>
  </si>
  <si>
    <t>Rollhyn</t>
  </si>
  <si>
    <t>Rowell</t>
  </si>
  <si>
    <t>Retchel</t>
  </si>
  <si>
    <t>Katrina</t>
  </si>
  <si>
    <t>Rogelio</t>
  </si>
  <si>
    <t>Jun</t>
  </si>
  <si>
    <t>Robin</t>
  </si>
  <si>
    <t>Eve</t>
  </si>
  <si>
    <t>Shaine</t>
  </si>
  <si>
    <t>TOTAL BILL =</t>
  </si>
  <si>
    <t>LOSS =</t>
  </si>
  <si>
    <t>TOTAL</t>
  </si>
  <si>
    <t>TOTAL BILL AMOUNT</t>
  </si>
  <si>
    <t>RATE PER kWh =</t>
  </si>
  <si>
    <t>JUNE</t>
  </si>
  <si>
    <t xml:space="preserve">EXCESS = </t>
  </si>
  <si>
    <t>DUE DATE:</t>
  </si>
  <si>
    <t>TOTAL LOSS =</t>
  </si>
  <si>
    <t xml:space="preserve">CONSUMPTION = </t>
  </si>
  <si>
    <t>STATUS</t>
  </si>
  <si>
    <t>Unpaid</t>
  </si>
  <si>
    <t>CONSUMPTION (m³)</t>
  </si>
  <si>
    <t>RATE PER m³ =</t>
  </si>
  <si>
    <t>Jhaine</t>
  </si>
  <si>
    <t>LOSS/ EXCESS</t>
  </si>
  <si>
    <t>AUGUST</t>
  </si>
  <si>
    <t>AMOUNT DUE =</t>
  </si>
  <si>
    <t>SEPTEMBER</t>
  </si>
  <si>
    <t>Paid</t>
  </si>
  <si>
    <t>Jun 17, 2026</t>
  </si>
  <si>
    <t>Jul 1, 2026</t>
  </si>
  <si>
    <t>Jul 30, 2026</t>
  </si>
  <si>
    <t>Aug 30, 2026</t>
  </si>
  <si>
    <t>Aug 23, 2026</t>
  </si>
  <si>
    <t>Oct 1, 2026</t>
  </si>
  <si>
    <t>Oct 13, 2026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</si>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</sst>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4" fontId="0" fillId="0" borderId="0" xfId="0" applyNumberFormat="1"/>
    <xf numFmtId="4" fontId="2" fillId="0" borderId="20" xfId="0" applyNumberFormat="1" applyFont="1" applyBorder="1"/>
    <xf numFmtId="4" fontId="2" fillId="0" borderId="21" xfId="0" applyNumberFormat="1" applyFont="1" applyBorder="1"/>
    <xf numFmtId="4" fontId="2" fillId="0" borderId="25" xfId="0" applyNumberFormat="1" applyFont="1" applyBorder="1"/>
    <xf numFmtId="4" fontId="0" fillId="0" borderId="0" xfId="0" applyNumberFormat="1" applyBorder="1"/>
    <xf numFmtId="4" fontId="2" fillId="0" borderId="26" xfId="0" applyNumberFormat="1" applyFont="1" applyBorder="1"/>
    <xf numFmtId="4" fontId="0" fillId="0" borderId="18" xfId="0" applyNumberFormat="1" applyBorder="1"/>
    <xf numFmtId="4" fontId="2" fillId="0" borderId="1" xfId="0" applyNumberFormat="1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4" fontId="2" fillId="0" borderId="4" xfId="0" applyNumberFormat="1" applyFont="1" applyBorder="1" applyAlignment="1">
      <alignment horizontal="right"/>
    </xf>
    <xf numFmtId="4" fontId="2" fillId="0" borderId="0" xfId="0" applyNumberFormat="1" applyFont="1" applyBorder="1"/>
    <xf numFmtId="4" fontId="2" fillId="10" borderId="19" xfId="0" applyNumberFormat="1" applyFont="1" applyFill="1" applyBorder="1" applyAlignment="1">
      <alignment horizontal="center" wrapText="1"/>
    </xf>
    <xf numFmtId="4" fontId="2" fillId="10" borderId="9" xfId="0" applyNumberFormat="1" applyFont="1" applyFill="1" applyBorder="1" applyAlignment="1">
      <alignment horizontal="center" wrapText="1"/>
    </xf>
    <xf numFmtId="4" fontId="2" fillId="10" borderId="11" xfId="0" applyNumberFormat="1" applyFont="1" applyFill="1" applyBorder="1" applyAlignment="1">
      <alignment horizontal="center" wrapText="1"/>
    </xf>
    <xf numFmtId="4" fontId="2" fillId="10" borderId="13" xfId="0" applyNumberFormat="1" applyFont="1" applyFill="1" applyBorder="1" applyAlignment="1">
      <alignment horizontal="center" wrapText="1"/>
    </xf>
    <xf numFmtId="4" fontId="2" fillId="8" borderId="19" xfId="0" applyNumberFormat="1" applyFont="1" applyFill="1" applyBorder="1" applyAlignment="1">
      <alignment horizontal="center" wrapText="1"/>
    </xf>
    <xf numFmtId="4" fontId="2" fillId="8" borderId="9" xfId="0" applyNumberFormat="1" applyFont="1" applyFill="1" applyBorder="1" applyAlignment="1">
      <alignment horizontal="center" wrapText="1"/>
    </xf>
    <xf numFmtId="4" fontId="2" fillId="8" borderId="11" xfId="0" applyNumberFormat="1" applyFont="1" applyFill="1" applyBorder="1" applyAlignment="1">
      <alignment horizontal="center" wrapText="1"/>
    </xf>
    <xf numFmtId="4" fontId="2" fillId="8" borderId="13" xfId="0" applyNumberFormat="1" applyFont="1" applyFill="1" applyBorder="1" applyAlignment="1">
      <alignment horizontal="center" wrapText="1"/>
    </xf>
    <xf numFmtId="4" fontId="0" fillId="0" borderId="12" xfId="0" applyNumberFormat="1" applyBorder="1" applyAlignment="1">
      <alignment horizontal="left"/>
    </xf>
    <xf numFmtId="4" fontId="0" fillId="0" borderId="11" xfId="0" applyNumberFormat="1" applyBorder="1" applyAlignment="1">
      <alignment horizontal="center"/>
    </xf>
    <xf numFmtId="4" fontId="0" fillId="7" borderId="11" xfId="0" applyNumberFormat="1" applyFill="1" applyBorder="1" applyAlignment="1">
      <alignment horizontal="right"/>
    </xf>
    <xf numFmtId="4" fontId="0" fillId="0" borderId="11" xfId="0" applyNumberFormat="1" applyFill="1" applyBorder="1" applyAlignment="1">
      <alignment horizontal="right"/>
    </xf>
    <xf numFmtId="4" fontId="0" fillId="0" borderId="13" xfId="0" applyNumberFormat="1" applyFill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4" fontId="0" fillId="0" borderId="11" xfId="0" applyNumberFormat="1" applyBorder="1"/>
    <xf numFmtId="4" fontId="0" fillId="7" borderId="11" xfId="0" applyNumberFormat="1" applyFill="1" applyBorder="1"/>
    <xf numFmtId="4" fontId="0" fillId="0" borderId="13" xfId="0" applyNumberFormat="1" applyBorder="1" applyAlignment="1">
      <alignment horizontal="center"/>
    </xf>
    <xf numFmtId="4" fontId="0" fillId="0" borderId="12" xfId="0" applyNumberFormat="1" applyFill="1" applyBorder="1" applyAlignment="1">
      <alignment horizontal="left"/>
    </xf>
    <xf numFmtId="4" fontId="0" fillId="0" borderId="11" xfId="0" applyNumberFormat="1" applyFill="1" applyBorder="1" applyAlignment="1">
      <alignment horizontal="center"/>
    </xf>
    <xf numFmtId="4" fontId="0" fillId="0" borderId="11" xfId="0" applyNumberFormat="1" applyFont="1" applyBorder="1"/>
    <xf numFmtId="4" fontId="2" fillId="0" borderId="11" xfId="0" applyNumberFormat="1" applyFont="1" applyBorder="1" applyAlignment="1">
      <alignment horizontal="center"/>
    </xf>
    <xf numFmtId="4" fontId="2" fillId="0" borderId="11" xfId="0" applyNumberFormat="1" applyFont="1" applyFill="1" applyBorder="1" applyAlignment="1">
      <alignment horizontal="right"/>
    </xf>
    <xf numFmtId="4" fontId="2" fillId="0" borderId="11" xfId="0" applyNumberFormat="1" applyFont="1" applyBorder="1" applyAlignment="1">
      <alignment horizontal="right"/>
    </xf>
    <xf numFmtId="4" fontId="2" fillId="0" borderId="11" xfId="0" applyNumberFormat="1" applyFont="1" applyBorder="1"/>
    <xf numFmtId="4" fontId="2" fillId="0" borderId="11" xfId="0" applyNumberFormat="1" applyFont="1" applyFill="1" applyBorder="1"/>
    <xf numFmtId="4" fontId="2" fillId="0" borderId="13" xfId="0" applyNumberFormat="1" applyFont="1" applyBorder="1"/>
    <xf numFmtId="4" fontId="0" fillId="0" borderId="12" xfId="0" applyNumberFormat="1" applyBorder="1"/>
    <xf numFmtId="4" fontId="0" fillId="0" borderId="13" xfId="0" applyNumberFormat="1" applyFill="1" applyBorder="1"/>
    <xf numFmtId="4" fontId="0" fillId="0" borderId="13" xfId="0" applyNumberFormat="1" applyBorder="1"/>
    <xf numFmtId="4" fontId="0" fillId="6" borderId="15" xfId="0" applyNumberFormat="1" applyFill="1" applyBorder="1"/>
    <xf numFmtId="4" fontId="0" fillId="6" borderId="16" xfId="0" applyNumberFormat="1" applyFill="1" applyBorder="1"/>
    <xf numFmtId="4" fontId="2" fillId="6" borderId="16" xfId="0" applyNumberFormat="1" applyFont="1" applyFill="1" applyBorder="1" applyAlignment="1">
      <alignment horizontal="right"/>
    </xf>
    <xf numFmtId="4" fontId="2" fillId="9" borderId="16" xfId="0" applyNumberFormat="1" applyFont="1" applyFill="1" applyBorder="1" applyAlignment="1">
      <alignment horizontal="center"/>
    </xf>
    <xf numFmtId="4" fontId="2" fillId="9" borderId="16" xfId="0" applyNumberFormat="1" applyFont="1" applyFill="1" applyBorder="1" applyAlignment="1">
      <alignment horizontal="right"/>
    </xf>
    <xf numFmtId="4" fontId="2" fillId="9" borderId="16" xfId="0" applyNumberFormat="1" applyFont="1" applyFill="1" applyBorder="1"/>
    <xf numFmtId="4" fontId="0" fillId="9" borderId="17" xfId="0" applyNumberFormat="1" applyFill="1" applyBorder="1"/>
    <xf numFmtId="4" fontId="2" fillId="6" borderId="16" xfId="0" applyNumberFormat="1" applyFont="1" applyFill="1" applyBorder="1" applyAlignment="1">
      <alignment horizontal="center"/>
    </xf>
    <xf numFmtId="4" fontId="0" fillId="6" borderId="17" xfId="0" applyNumberFormat="1" applyFill="1" applyBorder="1" applyAlignment="1">
      <alignment horizontal="center"/>
    </xf>
    <xf numFmtId="4" fontId="2" fillId="9" borderId="17" xfId="0" applyNumberFormat="1" applyFont="1" applyFill="1" applyBorder="1"/>
    <xf numFmtId="4" fontId="0" fillId="0" borderId="0" xfId="0" applyNumberFormat="1" applyFill="1" applyBorder="1"/>
    <xf numFmtId="4" fontId="0" fillId="0" borderId="0" xfId="0" applyNumberFormat="1" applyFill="1" applyBorder="1" applyAlignment="1">
      <alignment horizontal="left"/>
    </xf>
    <xf numFmtId="4" fontId="0" fillId="0" borderId="0" xfId="0" applyNumberFormat="1" applyFill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2" fillId="9" borderId="16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4" fontId="2" fillId="2" borderId="8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4" fontId="1" fillId="5" borderId="3" xfId="0" applyNumberFormat="1" applyFont="1" applyFill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2" fillId="9" borderId="22" xfId="0" applyNumberFormat="1" applyFont="1" applyFill="1" applyBorder="1" applyAlignment="1">
      <alignment horizontal="right"/>
    </xf>
    <xf numFmtId="4" fontId="2" fillId="9" borderId="23" xfId="0" applyNumberFormat="1" applyFont="1" applyFill="1" applyBorder="1" applyAlignment="1">
      <alignment horizontal="right"/>
    </xf>
    <xf numFmtId="4" fontId="2" fillId="9" borderId="24" xfId="0" applyNumberFormat="1" applyFont="1" applyFill="1" applyBorder="1" applyAlignment="1">
      <alignment horizontal="right"/>
    </xf>
    <xf numFmtId="4" fontId="2" fillId="0" borderId="12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right"/>
    </xf>
    <xf numFmtId="4" fontId="2" fillId="0" borderId="14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  <xf numFmtId="4" fontId="1" fillId="4" borderId="1" xfId="0" applyNumberFormat="1" applyFont="1" applyFill="1" applyBorder="1" applyAlignment="1">
      <alignment horizontal="center"/>
    </xf>
    <xf numFmtId="4" fontId="1" fillId="4" borderId="2" xfId="0" applyNumberFormat="1" applyFont="1" applyFill="1" applyBorder="1" applyAlignment="1">
      <alignment horizontal="center"/>
    </xf>
    <xf numFmtId="4" fontId="1" fillId="4" borderId="3" xfId="0" applyNumberFormat="1" applyFont="1" applyFill="1" applyBorder="1" applyAlignment="1">
      <alignment horizontal="center"/>
    </xf>
    <xf numFmtId="4" fontId="2" fillId="6" borderId="22" xfId="0" applyNumberFormat="1" applyFont="1" applyFill="1" applyBorder="1" applyAlignment="1">
      <alignment horizontal="right"/>
    </xf>
    <xf numFmtId="4" fontId="2" fillId="6" borderId="23" xfId="0" applyNumberFormat="1" applyFont="1" applyFill="1" applyBorder="1" applyAlignment="1">
      <alignment horizontal="right"/>
    </xf>
    <xf numFmtId="4" fontId="2" fillId="6" borderId="24" xfId="0" applyNumberFormat="1" applyFont="1" applyFill="1" applyBorder="1" applyAlignment="1">
      <alignment horizontal="right"/>
    </xf>
    <xf numFmtId="4" fontId="2" fillId="9" borderId="15" xfId="0" applyNumberFormat="1" applyFont="1" applyFill="1" applyBorder="1" applyAlignment="1">
      <alignment horizontal="right"/>
    </xf>
    <xf numFmtId="4" fontId="2" fillId="9" borderId="16" xfId="0" applyNumberFormat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1" fillId="0" borderId="0" xfId="0" applyFont="1" applyFill="1" applyAlignment="1"/>
    <xf numFmtId="164" fontId="0" fillId="0" borderId="11" xfId="0" applyNumberFormat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4" fontId="0" fillId="3" borderId="11" xfId="0" applyNumberFormat="1" applyFill="1" applyBorder="1" applyAlignment="1">
      <alignment horizontal="right"/>
    </xf>
    <xf numFmtId="4" fontId="0" fillId="6" borderId="17" xfId="0" applyNumberFormat="1" applyFill="1" applyBorder="1"/>
  </cellXfs>
  <cellStyles count="1">
    <cellStyle name="Normal" xfId="0" builtinId="0"/>
  </cellStyles>
  <dxfs count="20"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  <dxf>
      <font>
        <color rgb="FF009A3B"/>
      </font>
    </dxf>
    <dxf>
      <font>
        <color rgb="FFCC0000"/>
      </font>
    </dxf>
  </dxfs>
  <tableStyles count="0" defaultTableStyle="TableStyleMedium2" defaultPivotStyle="PivotStyleLight16"/>
  <colors>
    <mruColors>
      <color rgb="FFFFCCCC"/>
      <color rgb="FF009A3B"/>
      <color rgb="FFCC0000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6509-E190-4D51-ADE4-8EC9FBFCA2D2}">
  <dimension ref="A3:S283"/>
  <sheetViews>
    <sheetView tabSelected="1" topLeftCell="A197" zoomScale="90" zoomScaleNormal="90" workbookViewId="0">
      <selection activeCell="T119" sqref="T119"/>
    </sheetView>
  </sheetViews>
  <sheetFormatPr defaultRowHeight="14.4" x14ac:dyDescent="0.3"/>
  <cols>
    <col min="1" max="1" width="7.109375" customWidth="1"/>
    <col min="2" max="2" width="7.44140625" customWidth="1"/>
    <col min="3" max="4" width="9.88671875" customWidth="1"/>
    <col min="5" max="5" width="15" customWidth="1"/>
    <col min="6" max="6" width="11.44140625" customWidth="1"/>
    <col min="7" max="7" width="10.6640625" customWidth="1"/>
    <col min="8" max="8" width="11.44140625" customWidth="1"/>
    <col min="9" max="9" width="8.109375" customWidth="1"/>
    <col min="10" max="10" width="7.109375" customWidth="1"/>
    <col min="11" max="11" width="7.77734375" customWidth="1"/>
    <col min="12" max="12" width="10.44140625" customWidth="1"/>
    <col min="13" max="13" width="9.21875" customWidth="1"/>
    <col min="14" max="14" width="14.5546875" customWidth="1"/>
    <col min="15" max="15" width="12.109375" customWidth="1"/>
    <col min="16" max="16" width="10.44140625" customWidth="1"/>
    <col min="17" max="17" width="11.33203125" customWidth="1"/>
    <col min="18" max="18" width="7.5546875" customWidth="1"/>
  </cols>
  <sheetData>
    <row r="3" spans="1:18" ht="15" thickBo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" thickBot="1" x14ac:dyDescent="0.35">
      <c r="A4" s="66" t="s">
        <v>31</v>
      </c>
      <c r="B4" s="67"/>
      <c r="C4" s="67"/>
      <c r="D4" s="67"/>
      <c r="E4" s="67"/>
      <c r="F4" s="67"/>
      <c r="G4" s="67"/>
      <c r="H4" s="67"/>
      <c r="I4" s="68"/>
      <c r="J4" s="66" t="s">
        <v>31</v>
      </c>
      <c r="K4" s="67"/>
      <c r="L4" s="67"/>
      <c r="M4" s="67"/>
      <c r="N4" s="67"/>
      <c r="O4" s="67"/>
      <c r="P4" s="67"/>
      <c r="Q4" s="67"/>
      <c r="R4" s="68"/>
    </row>
    <row r="5" spans="1:18" ht="15" thickBot="1" x14ac:dyDescent="0.35">
      <c r="A5" s="69" t="s">
        <v>6</v>
      </c>
      <c r="B5" s="70"/>
      <c r="C5" s="70"/>
      <c r="D5" s="70"/>
      <c r="E5" s="70"/>
      <c r="F5" s="70"/>
      <c r="G5" s="70"/>
      <c r="H5" s="70"/>
      <c r="I5" s="71"/>
      <c r="J5" s="82" t="s">
        <v>7</v>
      </c>
      <c r="K5" s="83"/>
      <c r="L5" s="83"/>
      <c r="M5" s="83"/>
      <c r="N5" s="83"/>
      <c r="O5" s="83"/>
      <c r="P5" s="83"/>
      <c r="Q5" s="83"/>
      <c r="R5" s="84"/>
    </row>
    <row r="6" spans="1:18" ht="15" thickBot="1" x14ac:dyDescent="0.35">
      <c r="A6" s="11" t="s">
        <v>30</v>
      </c>
      <c r="B6" s="12"/>
      <c r="C6" s="13">
        <v>15.78</v>
      </c>
      <c r="D6" s="14"/>
      <c r="E6" s="11" t="s">
        <v>43</v>
      </c>
      <c r="F6" s="13">
        <v>31278.75</v>
      </c>
      <c r="G6" s="14"/>
      <c r="H6" s="15" t="s">
        <v>33</v>
      </c>
      <c r="I6" s="16"/>
      <c r="J6" s="11" t="s">
        <v>39</v>
      </c>
      <c r="K6" s="12"/>
      <c r="L6" s="13">
        <v>37.880000000000003</v>
      </c>
      <c r="M6" s="14"/>
      <c r="N6" s="11" t="s">
        <v>43</v>
      </c>
      <c r="O6" s="13">
        <v>7158.17</v>
      </c>
      <c r="P6" s="14"/>
      <c r="Q6" s="15" t="s">
        <v>33</v>
      </c>
      <c r="R6" s="16"/>
    </row>
    <row r="7" spans="1:18" ht="15" thickBot="1" x14ac:dyDescent="0.35">
      <c r="A7" s="17" t="s">
        <v>35</v>
      </c>
      <c r="B7" s="18"/>
      <c r="C7" s="19">
        <v>1982</v>
      </c>
      <c r="D7" s="14"/>
      <c r="E7" s="17" t="s">
        <v>34</v>
      </c>
      <c r="F7" s="19">
        <f>F6-F28</f>
        <v>3706.3640000000232</v>
      </c>
      <c r="G7" s="14"/>
      <c r="H7" s="20" t="s">
        <v>47</v>
      </c>
      <c r="I7" s="16"/>
      <c r="J7" s="17" t="s">
        <v>35</v>
      </c>
      <c r="K7" s="18"/>
      <c r="L7" s="19">
        <v>184</v>
      </c>
      <c r="M7" s="14"/>
      <c r="N7" s="17" t="s">
        <v>34</v>
      </c>
      <c r="O7" s="19">
        <f>ROUNDUP(O6-O28, 0)</f>
        <v>1290</v>
      </c>
      <c r="P7" s="14"/>
      <c r="Q7" s="20" t="s">
        <v>46</v>
      </c>
      <c r="R7" s="16"/>
    </row>
    <row r="8" spans="1:18" ht="15" thickBot="1" x14ac:dyDescent="0.35">
      <c r="A8" s="17" t="s">
        <v>32</v>
      </c>
      <c r="B8" s="18"/>
      <c r="C8" s="19">
        <v>0</v>
      </c>
      <c r="D8" s="21"/>
      <c r="E8" s="17" t="s">
        <v>27</v>
      </c>
      <c r="F8" s="19">
        <f>F7/17</f>
        <v>218.02141176470724</v>
      </c>
      <c r="G8" s="14"/>
      <c r="H8" s="14"/>
      <c r="I8" s="16"/>
      <c r="J8" s="17" t="s">
        <v>32</v>
      </c>
      <c r="K8" s="18"/>
      <c r="L8" s="19">
        <v>0</v>
      </c>
      <c r="M8" s="21"/>
      <c r="N8" s="17" t="s">
        <v>27</v>
      </c>
      <c r="O8" s="19">
        <f>ROUNDUP(O7/17, 0)</f>
        <v>76</v>
      </c>
      <c r="P8" s="14"/>
      <c r="Q8" s="14"/>
      <c r="R8" s="16"/>
    </row>
    <row r="9" spans="1:18" ht="28.8" customHeight="1" x14ac:dyDescent="0.3">
      <c r="A9" s="22" t="s">
        <v>3</v>
      </c>
      <c r="B9" s="23" t="s">
        <v>8</v>
      </c>
      <c r="C9" s="23" t="s">
        <v>0</v>
      </c>
      <c r="D9" s="24" t="s">
        <v>1</v>
      </c>
      <c r="E9" s="23" t="s">
        <v>9</v>
      </c>
      <c r="F9" s="23" t="s">
        <v>10</v>
      </c>
      <c r="G9" s="24" t="s">
        <v>41</v>
      </c>
      <c r="H9" s="24" t="s">
        <v>29</v>
      </c>
      <c r="I9" s="25" t="s">
        <v>36</v>
      </c>
      <c r="J9" s="26" t="s">
        <v>3</v>
      </c>
      <c r="K9" s="27" t="s">
        <v>8</v>
      </c>
      <c r="L9" s="27" t="s">
        <v>0</v>
      </c>
      <c r="M9" s="28" t="s">
        <v>1</v>
      </c>
      <c r="N9" s="27" t="s">
        <v>38</v>
      </c>
      <c r="O9" s="27" t="s">
        <v>10</v>
      </c>
      <c r="P9" s="28" t="s">
        <v>41</v>
      </c>
      <c r="Q9" s="28" t="s">
        <v>29</v>
      </c>
      <c r="R9" s="29" t="s">
        <v>36</v>
      </c>
    </row>
    <row r="10" spans="1:18" x14ac:dyDescent="0.3">
      <c r="A10" s="30" t="s">
        <v>11</v>
      </c>
      <c r="B10" s="96">
        <v>1</v>
      </c>
      <c r="C10" s="31">
        <v>2725.3</v>
      </c>
      <c r="D10" s="31">
        <v>2800</v>
      </c>
      <c r="E10" s="31">
        <f t="shared" ref="E10:E25" si="0">D10-C10</f>
        <v>74.699999999999818</v>
      </c>
      <c r="F10" s="33">
        <f t="shared" ref="F10:F25" si="1">E10*$C$6</f>
        <v>1178.7659999999971</v>
      </c>
      <c r="G10" s="33">
        <v>218</v>
      </c>
      <c r="H10" s="32">
        <f>F10+G10</f>
        <v>1396.7659999999971</v>
      </c>
      <c r="I10" s="34" t="s">
        <v>45</v>
      </c>
      <c r="J10" s="30" t="s">
        <v>11</v>
      </c>
      <c r="K10" s="96">
        <v>1</v>
      </c>
      <c r="L10" s="31">
        <v>411.4</v>
      </c>
      <c r="M10" s="31">
        <v>421</v>
      </c>
      <c r="N10" s="31">
        <f t="shared" ref="N10:N25" si="2">M10-L10</f>
        <v>9.6000000000000227</v>
      </c>
      <c r="O10" s="35">
        <f t="shared" ref="O10:O25" si="3">ROUNDUP(N10*$L$6, 0)</f>
        <v>364</v>
      </c>
      <c r="P10" s="36">
        <f>O8</f>
        <v>76</v>
      </c>
      <c r="Q10" s="37">
        <f>O10+P10</f>
        <v>440</v>
      </c>
      <c r="R10" s="38" t="s">
        <v>45</v>
      </c>
    </row>
    <row r="11" spans="1:18" x14ac:dyDescent="0.3">
      <c r="A11" s="30" t="s">
        <v>12</v>
      </c>
      <c r="B11" s="96">
        <v>2</v>
      </c>
      <c r="C11" s="31">
        <v>863.8</v>
      </c>
      <c r="D11" s="31">
        <v>914.1</v>
      </c>
      <c r="E11" s="31">
        <f>D11-C11</f>
        <v>50.300000000000068</v>
      </c>
      <c r="F11" s="33">
        <f t="shared" si="1"/>
        <v>793.73400000000106</v>
      </c>
      <c r="G11" s="33">
        <v>218</v>
      </c>
      <c r="H11" s="32">
        <f t="shared" ref="H11:H25" si="4">F11+G11</f>
        <v>1011.7340000000011</v>
      </c>
      <c r="I11" s="34" t="s">
        <v>45</v>
      </c>
      <c r="J11" s="30" t="s">
        <v>12</v>
      </c>
      <c r="K11" s="96">
        <v>2</v>
      </c>
      <c r="L11" s="31">
        <v>1.6</v>
      </c>
      <c r="M11" s="31">
        <v>5.4</v>
      </c>
      <c r="N11" s="31">
        <f t="shared" si="2"/>
        <v>3.8000000000000003</v>
      </c>
      <c r="O11" s="35">
        <f t="shared" si="3"/>
        <v>144</v>
      </c>
      <c r="P11" s="36">
        <f>O8</f>
        <v>76</v>
      </c>
      <c r="Q11" s="37">
        <f t="shared" ref="Q11:Q25" si="5">O11+P11</f>
        <v>220</v>
      </c>
      <c r="R11" s="38" t="s">
        <v>45</v>
      </c>
    </row>
    <row r="12" spans="1:18" x14ac:dyDescent="0.3">
      <c r="A12" s="30" t="s">
        <v>13</v>
      </c>
      <c r="B12" s="96">
        <v>3</v>
      </c>
      <c r="C12" s="31">
        <v>6219.3</v>
      </c>
      <c r="D12" s="31">
        <v>6384.4</v>
      </c>
      <c r="E12" s="31">
        <f t="shared" si="0"/>
        <v>165.09999999999945</v>
      </c>
      <c r="F12" s="33">
        <f t="shared" si="1"/>
        <v>2605.2779999999912</v>
      </c>
      <c r="G12" s="33">
        <v>218</v>
      </c>
      <c r="H12" s="32">
        <f t="shared" si="4"/>
        <v>2823.2779999999912</v>
      </c>
      <c r="I12" s="34" t="s">
        <v>45</v>
      </c>
      <c r="J12" s="30" t="s">
        <v>13</v>
      </c>
      <c r="K12" s="96">
        <v>3</v>
      </c>
      <c r="L12" s="31">
        <v>344.4</v>
      </c>
      <c r="M12" s="31">
        <v>353.6</v>
      </c>
      <c r="N12" s="31">
        <f t="shared" si="2"/>
        <v>9.2000000000000455</v>
      </c>
      <c r="O12" s="35">
        <f t="shared" si="3"/>
        <v>349</v>
      </c>
      <c r="P12" s="36">
        <f>O8</f>
        <v>76</v>
      </c>
      <c r="Q12" s="37">
        <f t="shared" si="5"/>
        <v>425</v>
      </c>
      <c r="R12" s="38" t="s">
        <v>45</v>
      </c>
    </row>
    <row r="13" spans="1:18" x14ac:dyDescent="0.3">
      <c r="A13" s="30" t="s">
        <v>14</v>
      </c>
      <c r="B13" s="96">
        <v>4</v>
      </c>
      <c r="C13" s="31">
        <v>2644.8</v>
      </c>
      <c r="D13" s="31">
        <v>2692.2</v>
      </c>
      <c r="E13" s="31">
        <f t="shared" si="0"/>
        <v>47.399999999999636</v>
      </c>
      <c r="F13" s="33">
        <f t="shared" si="1"/>
        <v>747.97199999999418</v>
      </c>
      <c r="G13" s="33">
        <v>218</v>
      </c>
      <c r="H13" s="32">
        <f t="shared" si="4"/>
        <v>965.97199999999418</v>
      </c>
      <c r="I13" s="34" t="s">
        <v>45</v>
      </c>
      <c r="J13" s="30" t="s">
        <v>14</v>
      </c>
      <c r="K13" s="96">
        <v>4</v>
      </c>
      <c r="L13" s="31">
        <v>171.4</v>
      </c>
      <c r="M13" s="31">
        <v>174.1</v>
      </c>
      <c r="N13" s="31">
        <f t="shared" si="2"/>
        <v>2.6999999999999886</v>
      </c>
      <c r="O13" s="35">
        <f t="shared" si="3"/>
        <v>103</v>
      </c>
      <c r="P13" s="36">
        <f>O8</f>
        <v>76</v>
      </c>
      <c r="Q13" s="37">
        <f t="shared" si="5"/>
        <v>179</v>
      </c>
      <c r="R13" s="38" t="s">
        <v>45</v>
      </c>
    </row>
    <row r="14" spans="1:18" x14ac:dyDescent="0.3">
      <c r="A14" s="30" t="s">
        <v>15</v>
      </c>
      <c r="B14" s="96">
        <v>5</v>
      </c>
      <c r="C14" s="31">
        <v>3857.7</v>
      </c>
      <c r="D14" s="31">
        <v>4009.6</v>
      </c>
      <c r="E14" s="31">
        <f t="shared" si="0"/>
        <v>151.90000000000009</v>
      </c>
      <c r="F14" s="33">
        <f>E14*$C$6</f>
        <v>2396.9820000000013</v>
      </c>
      <c r="G14" s="33">
        <v>218</v>
      </c>
      <c r="H14" s="32">
        <f t="shared" si="4"/>
        <v>2614.9820000000013</v>
      </c>
      <c r="I14" s="34" t="s">
        <v>45</v>
      </c>
      <c r="J14" s="30" t="s">
        <v>15</v>
      </c>
      <c r="K14" s="96">
        <v>5</v>
      </c>
      <c r="L14" s="31">
        <v>192.3</v>
      </c>
      <c r="M14" s="31">
        <v>200.7</v>
      </c>
      <c r="N14" s="31">
        <f t="shared" si="2"/>
        <v>8.3999999999999773</v>
      </c>
      <c r="O14" s="35">
        <f t="shared" si="3"/>
        <v>319</v>
      </c>
      <c r="P14" s="36">
        <f>O8</f>
        <v>76</v>
      </c>
      <c r="Q14" s="37">
        <f t="shared" si="5"/>
        <v>395</v>
      </c>
      <c r="R14" s="38" t="s">
        <v>45</v>
      </c>
    </row>
    <row r="15" spans="1:18" x14ac:dyDescent="0.3">
      <c r="A15" s="39" t="s">
        <v>16</v>
      </c>
      <c r="B15" s="97" t="s">
        <v>5</v>
      </c>
      <c r="C15" s="40">
        <v>3907.4</v>
      </c>
      <c r="D15" s="40">
        <v>3938.1</v>
      </c>
      <c r="E15" s="40">
        <f t="shared" si="0"/>
        <v>30.699999999999818</v>
      </c>
      <c r="F15" s="33">
        <f>E15*$C$6</f>
        <v>484.44599999999713</v>
      </c>
      <c r="G15" s="33">
        <v>218</v>
      </c>
      <c r="H15" s="32">
        <f t="shared" si="4"/>
        <v>702.44599999999718</v>
      </c>
      <c r="I15" s="34" t="s">
        <v>45</v>
      </c>
      <c r="J15" s="39" t="s">
        <v>16</v>
      </c>
      <c r="K15" s="97" t="s">
        <v>5</v>
      </c>
      <c r="L15" s="31">
        <v>124.7</v>
      </c>
      <c r="M15" s="40">
        <v>156.80000000000001</v>
      </c>
      <c r="N15" s="40">
        <f t="shared" si="2"/>
        <v>32.100000000000009</v>
      </c>
      <c r="O15" s="35">
        <f t="shared" si="3"/>
        <v>1216</v>
      </c>
      <c r="P15" s="41">
        <f>O8</f>
        <v>76</v>
      </c>
      <c r="Q15" s="37">
        <f t="shared" si="5"/>
        <v>1292</v>
      </c>
      <c r="R15" s="38" t="s">
        <v>45</v>
      </c>
    </row>
    <row r="16" spans="1:18" x14ac:dyDescent="0.3">
      <c r="A16" s="39" t="s">
        <v>17</v>
      </c>
      <c r="B16" s="97">
        <v>8</v>
      </c>
      <c r="C16" s="40">
        <v>1337.6</v>
      </c>
      <c r="D16" s="40">
        <v>1394.6</v>
      </c>
      <c r="E16" s="40">
        <f t="shared" si="0"/>
        <v>57</v>
      </c>
      <c r="F16" s="33">
        <f t="shared" si="1"/>
        <v>899.45999999999992</v>
      </c>
      <c r="G16" s="33">
        <v>218</v>
      </c>
      <c r="H16" s="32">
        <f t="shared" si="4"/>
        <v>1117.46</v>
      </c>
      <c r="I16" s="34" t="s">
        <v>45</v>
      </c>
      <c r="J16" s="30" t="s">
        <v>17</v>
      </c>
      <c r="K16" s="96">
        <v>8</v>
      </c>
      <c r="L16" s="31">
        <v>244.9</v>
      </c>
      <c r="M16" s="31">
        <v>255.8</v>
      </c>
      <c r="N16" s="31">
        <f t="shared" si="2"/>
        <v>10.900000000000006</v>
      </c>
      <c r="O16" s="35">
        <f t="shared" si="3"/>
        <v>413</v>
      </c>
      <c r="P16" s="36">
        <f>O8</f>
        <v>76</v>
      </c>
      <c r="Q16" s="37">
        <f t="shared" si="5"/>
        <v>489</v>
      </c>
      <c r="R16" s="38" t="s">
        <v>45</v>
      </c>
    </row>
    <row r="17" spans="1:18" x14ac:dyDescent="0.3">
      <c r="A17" s="39" t="s">
        <v>18</v>
      </c>
      <c r="B17" s="97">
        <v>9</v>
      </c>
      <c r="C17" s="40">
        <v>2264.1</v>
      </c>
      <c r="D17" s="40">
        <v>2337.8000000000002</v>
      </c>
      <c r="E17" s="40">
        <f t="shared" si="0"/>
        <v>73.700000000000273</v>
      </c>
      <c r="F17" s="33">
        <f t="shared" si="1"/>
        <v>1162.9860000000042</v>
      </c>
      <c r="G17" s="33">
        <v>218</v>
      </c>
      <c r="H17" s="32">
        <f t="shared" si="4"/>
        <v>1380.9860000000042</v>
      </c>
      <c r="I17" s="34" t="s">
        <v>45</v>
      </c>
      <c r="J17" s="30" t="s">
        <v>18</v>
      </c>
      <c r="K17" s="96">
        <v>9</v>
      </c>
      <c r="L17" s="31">
        <v>253.7</v>
      </c>
      <c r="M17" s="31">
        <v>256.89999999999998</v>
      </c>
      <c r="N17" s="31">
        <f t="shared" si="2"/>
        <v>3.1999999999999886</v>
      </c>
      <c r="O17" s="35">
        <f t="shared" si="3"/>
        <v>122</v>
      </c>
      <c r="P17" s="36">
        <f>O8</f>
        <v>76</v>
      </c>
      <c r="Q17" s="37">
        <f t="shared" si="5"/>
        <v>198</v>
      </c>
      <c r="R17" s="38" t="s">
        <v>45</v>
      </c>
    </row>
    <row r="18" spans="1:18" x14ac:dyDescent="0.3">
      <c r="A18" s="39" t="s">
        <v>19</v>
      </c>
      <c r="B18" s="97">
        <v>10</v>
      </c>
      <c r="C18" s="40">
        <v>2743.7</v>
      </c>
      <c r="D18" s="40">
        <v>2757.2</v>
      </c>
      <c r="E18" s="40">
        <f t="shared" si="0"/>
        <v>13.5</v>
      </c>
      <c r="F18" s="33">
        <f t="shared" si="1"/>
        <v>213.03</v>
      </c>
      <c r="G18" s="33">
        <v>218</v>
      </c>
      <c r="H18" s="32">
        <f t="shared" si="4"/>
        <v>431.03</v>
      </c>
      <c r="I18" s="34" t="s">
        <v>45</v>
      </c>
      <c r="J18" s="30" t="s">
        <v>19</v>
      </c>
      <c r="K18" s="96">
        <v>10</v>
      </c>
      <c r="L18" s="31">
        <v>52.3</v>
      </c>
      <c r="M18" s="31">
        <v>55</v>
      </c>
      <c r="N18" s="31">
        <f t="shared" si="2"/>
        <v>2.7000000000000028</v>
      </c>
      <c r="O18" s="35">
        <f t="shared" si="3"/>
        <v>103</v>
      </c>
      <c r="P18" s="36">
        <f>O8</f>
        <v>76</v>
      </c>
      <c r="Q18" s="37">
        <f t="shared" si="5"/>
        <v>179</v>
      </c>
      <c r="R18" s="38" t="s">
        <v>45</v>
      </c>
    </row>
    <row r="19" spans="1:18" x14ac:dyDescent="0.3">
      <c r="A19" s="39" t="s">
        <v>20</v>
      </c>
      <c r="B19" s="97">
        <v>11</v>
      </c>
      <c r="C19" s="40">
        <v>999.9</v>
      </c>
      <c r="D19" s="40">
        <v>1031.9000000000001</v>
      </c>
      <c r="E19" s="40">
        <f t="shared" si="0"/>
        <v>32.000000000000114</v>
      </c>
      <c r="F19" s="33">
        <f t="shared" si="1"/>
        <v>504.9600000000018</v>
      </c>
      <c r="G19" s="33">
        <v>218</v>
      </c>
      <c r="H19" s="32">
        <f t="shared" si="4"/>
        <v>722.96000000000186</v>
      </c>
      <c r="I19" s="34" t="s">
        <v>45</v>
      </c>
      <c r="J19" s="30" t="s">
        <v>20</v>
      </c>
      <c r="K19" s="96">
        <v>11</v>
      </c>
      <c r="L19" s="31">
        <v>90.7</v>
      </c>
      <c r="M19" s="31">
        <v>97.7</v>
      </c>
      <c r="N19" s="31">
        <f t="shared" si="2"/>
        <v>7</v>
      </c>
      <c r="O19" s="35">
        <f t="shared" si="3"/>
        <v>266</v>
      </c>
      <c r="P19" s="36">
        <f>O8</f>
        <v>76</v>
      </c>
      <c r="Q19" s="37">
        <f t="shared" si="5"/>
        <v>342</v>
      </c>
      <c r="R19" s="38" t="s">
        <v>45</v>
      </c>
    </row>
    <row r="20" spans="1:18" x14ac:dyDescent="0.3">
      <c r="A20" s="39" t="s">
        <v>21</v>
      </c>
      <c r="B20" s="97">
        <v>12</v>
      </c>
      <c r="C20" s="40">
        <v>4981.1000000000004</v>
      </c>
      <c r="D20" s="40">
        <v>5248.6</v>
      </c>
      <c r="E20" s="40">
        <f t="shared" si="0"/>
        <v>267.5</v>
      </c>
      <c r="F20" s="33">
        <f t="shared" si="1"/>
        <v>4221.1499999999996</v>
      </c>
      <c r="G20" s="33">
        <v>218</v>
      </c>
      <c r="H20" s="32">
        <f t="shared" si="4"/>
        <v>4439.1499999999996</v>
      </c>
      <c r="I20" s="34" t="s">
        <v>45</v>
      </c>
      <c r="J20" s="30" t="s">
        <v>21</v>
      </c>
      <c r="K20" s="96">
        <v>12</v>
      </c>
      <c r="L20" s="31">
        <v>4.5999999999999996</v>
      </c>
      <c r="M20" s="31">
        <v>14.8</v>
      </c>
      <c r="N20" s="31">
        <f t="shared" si="2"/>
        <v>10.200000000000001</v>
      </c>
      <c r="O20" s="35">
        <f t="shared" si="3"/>
        <v>387</v>
      </c>
      <c r="P20" s="36">
        <f>O8</f>
        <v>76</v>
      </c>
      <c r="Q20" s="37">
        <f t="shared" si="5"/>
        <v>463</v>
      </c>
      <c r="R20" s="38" t="s">
        <v>45</v>
      </c>
    </row>
    <row r="21" spans="1:18" x14ac:dyDescent="0.3">
      <c r="A21" s="39" t="s">
        <v>22</v>
      </c>
      <c r="B21" s="97">
        <v>13</v>
      </c>
      <c r="C21" s="40">
        <v>3225.3</v>
      </c>
      <c r="D21" s="40">
        <v>3342.6</v>
      </c>
      <c r="E21" s="40">
        <f t="shared" si="0"/>
        <v>117.29999999999973</v>
      </c>
      <c r="F21" s="33">
        <f t="shared" si="1"/>
        <v>1850.9939999999956</v>
      </c>
      <c r="G21" s="33">
        <v>218</v>
      </c>
      <c r="H21" s="32">
        <f t="shared" si="4"/>
        <v>2068.9939999999956</v>
      </c>
      <c r="I21" s="34" t="s">
        <v>45</v>
      </c>
      <c r="J21" s="30" t="s">
        <v>22</v>
      </c>
      <c r="K21" s="96">
        <v>13</v>
      </c>
      <c r="L21" s="31">
        <v>6.7</v>
      </c>
      <c r="M21" s="31">
        <v>15</v>
      </c>
      <c r="N21" s="31">
        <f t="shared" si="2"/>
        <v>8.3000000000000007</v>
      </c>
      <c r="O21" s="35">
        <f t="shared" si="3"/>
        <v>315</v>
      </c>
      <c r="P21" s="36">
        <f>O8</f>
        <v>76</v>
      </c>
      <c r="Q21" s="37">
        <f t="shared" si="5"/>
        <v>391</v>
      </c>
      <c r="R21" s="38" t="s">
        <v>45</v>
      </c>
    </row>
    <row r="22" spans="1:18" x14ac:dyDescent="0.3">
      <c r="A22" s="39" t="s">
        <v>23</v>
      </c>
      <c r="B22" s="97">
        <v>14</v>
      </c>
      <c r="C22" s="40">
        <v>4922.2</v>
      </c>
      <c r="D22" s="40">
        <v>4986</v>
      </c>
      <c r="E22" s="40">
        <f t="shared" si="0"/>
        <v>63.800000000000182</v>
      </c>
      <c r="F22" s="33">
        <f t="shared" si="1"/>
        <v>1006.7640000000029</v>
      </c>
      <c r="G22" s="33">
        <v>218</v>
      </c>
      <c r="H22" s="32">
        <f t="shared" si="4"/>
        <v>1224.7640000000029</v>
      </c>
      <c r="I22" s="34" t="s">
        <v>45</v>
      </c>
      <c r="J22" s="39" t="s">
        <v>23</v>
      </c>
      <c r="K22" s="96">
        <v>14</v>
      </c>
      <c r="L22" s="31">
        <v>1.7</v>
      </c>
      <c r="M22" s="31">
        <v>5.0999999999999996</v>
      </c>
      <c r="N22" s="31">
        <f t="shared" si="2"/>
        <v>3.3999999999999995</v>
      </c>
      <c r="O22" s="35">
        <f t="shared" si="3"/>
        <v>129</v>
      </c>
      <c r="P22" s="36">
        <f>O8</f>
        <v>76</v>
      </c>
      <c r="Q22" s="37">
        <f t="shared" si="5"/>
        <v>205</v>
      </c>
      <c r="R22" s="38" t="s">
        <v>45</v>
      </c>
    </row>
    <row r="23" spans="1:18" x14ac:dyDescent="0.3">
      <c r="A23" s="39" t="s">
        <v>24</v>
      </c>
      <c r="B23" s="97">
        <v>15</v>
      </c>
      <c r="C23" s="40">
        <v>3712.2</v>
      </c>
      <c r="D23" s="40">
        <v>3724.5</v>
      </c>
      <c r="E23" s="40">
        <f t="shared" si="0"/>
        <v>12.300000000000182</v>
      </c>
      <c r="F23" s="33">
        <f t="shared" si="1"/>
        <v>194.09400000000286</v>
      </c>
      <c r="G23" s="33">
        <v>218</v>
      </c>
      <c r="H23" s="32">
        <f>F23+G23</f>
        <v>412.09400000000289</v>
      </c>
      <c r="I23" s="34" t="s">
        <v>45</v>
      </c>
      <c r="J23" s="30" t="s">
        <v>24</v>
      </c>
      <c r="K23" s="97">
        <v>15</v>
      </c>
      <c r="L23" s="31">
        <v>338.2</v>
      </c>
      <c r="M23" s="40">
        <v>349.8</v>
      </c>
      <c r="N23" s="40">
        <f t="shared" si="2"/>
        <v>11.600000000000023</v>
      </c>
      <c r="O23" s="35">
        <f t="shared" si="3"/>
        <v>440</v>
      </c>
      <c r="P23" s="36">
        <f>O8</f>
        <v>76</v>
      </c>
      <c r="Q23" s="37">
        <f t="shared" si="5"/>
        <v>516</v>
      </c>
      <c r="R23" s="38" t="s">
        <v>45</v>
      </c>
    </row>
    <row r="24" spans="1:18" x14ac:dyDescent="0.3">
      <c r="A24" s="39" t="s">
        <v>25</v>
      </c>
      <c r="B24" s="96">
        <v>16</v>
      </c>
      <c r="C24" s="31">
        <v>135.5</v>
      </c>
      <c r="D24" s="31">
        <v>148.19999999999999</v>
      </c>
      <c r="E24" s="31">
        <f t="shared" si="0"/>
        <v>12.699999999999989</v>
      </c>
      <c r="F24" s="33">
        <f t="shared" si="1"/>
        <v>200.40599999999981</v>
      </c>
      <c r="G24" s="33">
        <v>218</v>
      </c>
      <c r="H24" s="32">
        <f t="shared" si="4"/>
        <v>418.40599999999984</v>
      </c>
      <c r="I24" s="34" t="s">
        <v>45</v>
      </c>
      <c r="J24" s="30" t="s">
        <v>40</v>
      </c>
      <c r="K24" s="96">
        <v>16</v>
      </c>
      <c r="L24" s="31">
        <v>36.299999999999997</v>
      </c>
      <c r="M24" s="31">
        <v>42.3</v>
      </c>
      <c r="N24" s="31">
        <f t="shared" si="2"/>
        <v>6</v>
      </c>
      <c r="O24" s="35">
        <f t="shared" si="3"/>
        <v>228</v>
      </c>
      <c r="P24" s="36">
        <f>O8</f>
        <v>76</v>
      </c>
      <c r="Q24" s="37">
        <f t="shared" si="5"/>
        <v>304</v>
      </c>
      <c r="R24" s="38" t="s">
        <v>45</v>
      </c>
    </row>
    <row r="25" spans="1:18" x14ac:dyDescent="0.3">
      <c r="A25" s="72" t="s">
        <v>2</v>
      </c>
      <c r="B25" s="73"/>
      <c r="C25" s="31">
        <v>9229.7000000000007</v>
      </c>
      <c r="D25" s="31">
        <v>9615</v>
      </c>
      <c r="E25" s="31">
        <f t="shared" si="0"/>
        <v>385.29999999999927</v>
      </c>
      <c r="F25" s="33">
        <f t="shared" si="1"/>
        <v>6080.0339999999878</v>
      </c>
      <c r="G25" s="33">
        <v>218</v>
      </c>
      <c r="H25" s="32">
        <f t="shared" si="4"/>
        <v>6298.0339999999878</v>
      </c>
      <c r="I25" s="34" t="s">
        <v>45</v>
      </c>
      <c r="J25" s="72" t="s">
        <v>2</v>
      </c>
      <c r="K25" s="73"/>
      <c r="L25" s="31">
        <v>532.6</v>
      </c>
      <c r="M25" s="31">
        <v>554.1</v>
      </c>
      <c r="N25" s="31">
        <f t="shared" si="2"/>
        <v>21.5</v>
      </c>
      <c r="O25" s="35">
        <f t="shared" si="3"/>
        <v>815</v>
      </c>
      <c r="P25" s="36">
        <f>O8</f>
        <v>76</v>
      </c>
      <c r="Q25" s="37">
        <f t="shared" si="5"/>
        <v>891</v>
      </c>
      <c r="R25" s="38" t="s">
        <v>45</v>
      </c>
    </row>
    <row r="26" spans="1:18" x14ac:dyDescent="0.3">
      <c r="A26" s="79" t="s">
        <v>28</v>
      </c>
      <c r="B26" s="80"/>
      <c r="C26" s="80"/>
      <c r="D26" s="81"/>
      <c r="E26" s="42">
        <f>SUM(E10:E25)</f>
        <v>1555.1999999999987</v>
      </c>
      <c r="F26" s="43">
        <f>SUM(F10:F25)</f>
        <v>24541.055999999979</v>
      </c>
      <c r="G26" s="43">
        <f>SUM(G10:G25)</f>
        <v>3488</v>
      </c>
      <c r="H26" s="43">
        <f>SUM(H10:H25)</f>
        <v>28029.055999999979</v>
      </c>
      <c r="I26" s="34"/>
      <c r="J26" s="77" t="s">
        <v>28</v>
      </c>
      <c r="K26" s="78"/>
      <c r="L26" s="78"/>
      <c r="M26" s="78"/>
      <c r="N26" s="42">
        <f>SUM(N10:N25)</f>
        <v>150.60000000000008</v>
      </c>
      <c r="O26" s="44">
        <f>SUM(O10:O25)</f>
        <v>5713</v>
      </c>
      <c r="P26" s="45">
        <f>SUM(P10:P25)</f>
        <v>1216</v>
      </c>
      <c r="Q26" s="46">
        <f>SUM(Q10:Q25)</f>
        <v>6929</v>
      </c>
      <c r="R26" s="47"/>
    </row>
    <row r="27" spans="1:18" x14ac:dyDescent="0.3">
      <c r="A27" s="48"/>
      <c r="B27" s="31">
        <v>10</v>
      </c>
      <c r="C27" s="36"/>
      <c r="D27" s="36"/>
      <c r="E27" s="31">
        <v>192.1</v>
      </c>
      <c r="F27" s="33">
        <v>3031.33</v>
      </c>
      <c r="G27" s="33">
        <v>218</v>
      </c>
      <c r="H27" s="32">
        <f>SUM(F27:G27)</f>
        <v>3249.33</v>
      </c>
      <c r="I27" s="49"/>
      <c r="J27" s="48"/>
      <c r="K27" s="31">
        <v>10</v>
      </c>
      <c r="L27" s="36"/>
      <c r="M27" s="31"/>
      <c r="N27" s="31">
        <v>4.0999999999999996</v>
      </c>
      <c r="O27" s="35">
        <f>ROUNDUP(N27*L6, 0)</f>
        <v>156</v>
      </c>
      <c r="P27" s="36">
        <f>O8</f>
        <v>76</v>
      </c>
      <c r="Q27" s="37">
        <f>SUM(O27:P27)</f>
        <v>232</v>
      </c>
      <c r="R27" s="50"/>
    </row>
    <row r="28" spans="1:18" ht="15" thickBot="1" x14ac:dyDescent="0.35">
      <c r="A28" s="51"/>
      <c r="B28" s="52"/>
      <c r="C28" s="52"/>
      <c r="D28" s="53" t="s">
        <v>28</v>
      </c>
      <c r="E28" s="52"/>
      <c r="F28" s="53">
        <f>SUM(F26:F27)</f>
        <v>27572.385999999977</v>
      </c>
      <c r="G28" s="53">
        <f>SUM(G26:G27)</f>
        <v>3706</v>
      </c>
      <c r="H28" s="53">
        <f>SUM(H26:H27)</f>
        <v>31278.385999999977</v>
      </c>
      <c r="I28" s="99"/>
      <c r="J28" s="74" t="s">
        <v>28</v>
      </c>
      <c r="K28" s="75"/>
      <c r="L28" s="75"/>
      <c r="M28" s="76"/>
      <c r="N28" s="54">
        <f>SUM(N26:N27)</f>
        <v>154.70000000000007</v>
      </c>
      <c r="O28" s="55">
        <f>SUM(O26:O27)</f>
        <v>5869</v>
      </c>
      <c r="P28" s="56">
        <f>SUM(P26:P27)</f>
        <v>1292</v>
      </c>
      <c r="Q28" s="56">
        <f>SUM(Q26:Q27)</f>
        <v>7161</v>
      </c>
      <c r="R28" s="57"/>
    </row>
    <row r="29" spans="1:18" ht="15" thickBot="1" x14ac:dyDescent="0.35"/>
    <row r="30" spans="1:18" ht="15" thickBot="1" x14ac:dyDescent="0.35">
      <c r="A30" s="66" t="s">
        <v>4</v>
      </c>
      <c r="B30" s="67"/>
      <c r="C30" s="67"/>
      <c r="D30" s="67"/>
      <c r="E30" s="67"/>
      <c r="F30" s="67"/>
      <c r="G30" s="67"/>
      <c r="H30" s="67"/>
      <c r="I30" s="68"/>
      <c r="J30" s="66" t="s">
        <v>4</v>
      </c>
      <c r="K30" s="67"/>
      <c r="L30" s="67"/>
      <c r="M30" s="67"/>
      <c r="N30" s="67"/>
      <c r="O30" s="67"/>
      <c r="P30" s="67"/>
      <c r="Q30" s="67"/>
      <c r="R30" s="68"/>
    </row>
    <row r="31" spans="1:18" ht="15" thickBot="1" x14ac:dyDescent="0.35">
      <c r="A31" s="69" t="s">
        <v>6</v>
      </c>
      <c r="B31" s="70"/>
      <c r="C31" s="70"/>
      <c r="D31" s="70"/>
      <c r="E31" s="70"/>
      <c r="F31" s="70"/>
      <c r="G31" s="70"/>
      <c r="H31" s="70"/>
      <c r="I31" s="71"/>
      <c r="J31" s="82" t="s">
        <v>7</v>
      </c>
      <c r="K31" s="83"/>
      <c r="L31" s="83"/>
      <c r="M31" s="83"/>
      <c r="N31" s="83"/>
      <c r="O31" s="83"/>
      <c r="P31" s="83"/>
      <c r="Q31" s="83"/>
      <c r="R31" s="84"/>
    </row>
    <row r="32" spans="1:18" ht="15" thickBot="1" x14ac:dyDescent="0.35">
      <c r="A32" s="11" t="s">
        <v>30</v>
      </c>
      <c r="B32" s="12"/>
      <c r="C32" s="13">
        <v>16.100000000000001</v>
      </c>
      <c r="D32" s="14"/>
      <c r="E32" s="11" t="s">
        <v>26</v>
      </c>
      <c r="F32" s="13">
        <v>28305.15</v>
      </c>
      <c r="G32" s="14"/>
      <c r="H32" s="15" t="s">
        <v>33</v>
      </c>
      <c r="I32" s="16"/>
      <c r="J32" s="11" t="s">
        <v>39</v>
      </c>
      <c r="K32" s="12"/>
      <c r="L32" s="13">
        <v>37.6</v>
      </c>
      <c r="M32" s="14"/>
      <c r="N32" s="11" t="s">
        <v>26</v>
      </c>
      <c r="O32" s="13">
        <v>6691.96</v>
      </c>
      <c r="P32" s="14"/>
      <c r="Q32" s="15" t="s">
        <v>33</v>
      </c>
      <c r="R32" s="16"/>
    </row>
    <row r="33" spans="1:18" ht="15" thickBot="1" x14ac:dyDescent="0.35">
      <c r="A33" s="17" t="s">
        <v>35</v>
      </c>
      <c r="B33" s="18"/>
      <c r="C33" s="19">
        <v>1758</v>
      </c>
      <c r="D33" s="14"/>
      <c r="E33" s="17" t="s">
        <v>34</v>
      </c>
      <c r="F33" s="19">
        <f>F32-F52</f>
        <v>709.15000000000146</v>
      </c>
      <c r="G33" s="14"/>
      <c r="H33" s="20" t="s">
        <v>48</v>
      </c>
      <c r="I33" s="16"/>
      <c r="J33" s="17" t="s">
        <v>35</v>
      </c>
      <c r="K33" s="18"/>
      <c r="L33" s="19">
        <v>184</v>
      </c>
      <c r="M33" s="14"/>
      <c r="N33" s="17" t="s">
        <v>34</v>
      </c>
      <c r="O33" s="19">
        <f>ROUNDUP(O32-O52, 0)</f>
        <v>1236</v>
      </c>
      <c r="P33" s="14"/>
      <c r="Q33" s="20" t="s">
        <v>46</v>
      </c>
      <c r="R33" s="16"/>
    </row>
    <row r="34" spans="1:18" ht="15" thickBot="1" x14ac:dyDescent="0.35">
      <c r="A34" s="17" t="s">
        <v>32</v>
      </c>
      <c r="B34" s="18"/>
      <c r="C34" s="19">
        <v>0</v>
      </c>
      <c r="D34" s="21"/>
      <c r="E34" s="17" t="s">
        <v>27</v>
      </c>
      <c r="F34" s="19">
        <f>F33/16</f>
        <v>44.321875000000091</v>
      </c>
      <c r="G34" s="14"/>
      <c r="H34" s="14"/>
      <c r="I34" s="16"/>
      <c r="J34" s="17" t="s">
        <v>32</v>
      </c>
      <c r="K34" s="18"/>
      <c r="L34" s="19">
        <v>0</v>
      </c>
      <c r="M34" s="21"/>
      <c r="N34" s="17" t="s">
        <v>27</v>
      </c>
      <c r="O34" s="19">
        <f>ROUNDUP(O33/16, 0)</f>
        <v>78</v>
      </c>
      <c r="P34" s="14"/>
      <c r="Q34" s="14"/>
      <c r="R34" s="16"/>
    </row>
    <row r="35" spans="1:18" ht="29.4" customHeight="1" x14ac:dyDescent="0.3">
      <c r="A35" s="22" t="s">
        <v>3</v>
      </c>
      <c r="B35" s="23" t="s">
        <v>8</v>
      </c>
      <c r="C35" s="23" t="s">
        <v>0</v>
      </c>
      <c r="D35" s="24" t="s">
        <v>1</v>
      </c>
      <c r="E35" s="23" t="s">
        <v>9</v>
      </c>
      <c r="F35" s="23" t="s">
        <v>10</v>
      </c>
      <c r="G35" s="24" t="s">
        <v>41</v>
      </c>
      <c r="H35" s="24" t="s">
        <v>29</v>
      </c>
      <c r="I35" s="25" t="s">
        <v>36</v>
      </c>
      <c r="J35" s="26" t="s">
        <v>3</v>
      </c>
      <c r="K35" s="27" t="s">
        <v>8</v>
      </c>
      <c r="L35" s="27" t="s">
        <v>0</v>
      </c>
      <c r="M35" s="28" t="s">
        <v>1</v>
      </c>
      <c r="N35" s="27" t="s">
        <v>38</v>
      </c>
      <c r="O35" s="27" t="s">
        <v>10</v>
      </c>
      <c r="P35" s="28" t="s">
        <v>41</v>
      </c>
      <c r="Q35" s="28" t="s">
        <v>29</v>
      </c>
      <c r="R35" s="29" t="s">
        <v>36</v>
      </c>
    </row>
    <row r="36" spans="1:18" x14ac:dyDescent="0.3">
      <c r="A36" s="30" t="s">
        <v>11</v>
      </c>
      <c r="B36" s="96">
        <v>1</v>
      </c>
      <c r="C36" s="31">
        <v>2800</v>
      </c>
      <c r="D36" s="31">
        <v>2871.4</v>
      </c>
      <c r="E36" s="31">
        <f>D36-C36</f>
        <v>71.400000000000091</v>
      </c>
      <c r="F36" s="35">
        <f>ROUNDUP(E36*$C$32, 0)</f>
        <v>1150</v>
      </c>
      <c r="G36" s="35">
        <f>ROUNDUP($F$34, 0)</f>
        <v>45</v>
      </c>
      <c r="H36" s="32">
        <f>F36+G36</f>
        <v>1195</v>
      </c>
      <c r="I36" s="38" t="s">
        <v>45</v>
      </c>
      <c r="J36" s="30" t="s">
        <v>11</v>
      </c>
      <c r="K36" s="96">
        <v>1</v>
      </c>
      <c r="L36" s="94">
        <v>421</v>
      </c>
      <c r="M36" s="64">
        <v>430.6</v>
      </c>
      <c r="N36" s="64">
        <f t="shared" ref="N36:N51" si="6">M36-L36</f>
        <v>9.6000000000000227</v>
      </c>
      <c r="O36" s="35">
        <f>ROUNDUP(N36*$L$32, 0)</f>
        <v>361</v>
      </c>
      <c r="P36" s="36">
        <f>O34</f>
        <v>78</v>
      </c>
      <c r="Q36" s="37">
        <f>O36+P36</f>
        <v>439</v>
      </c>
      <c r="R36" s="38" t="s">
        <v>45</v>
      </c>
    </row>
    <row r="37" spans="1:18" x14ac:dyDescent="0.3">
      <c r="A37" s="30" t="s">
        <v>12</v>
      </c>
      <c r="B37" s="96">
        <v>2</v>
      </c>
      <c r="C37" s="31">
        <v>914.1</v>
      </c>
      <c r="D37" s="31">
        <v>960.6</v>
      </c>
      <c r="E37" s="31">
        <f>D37-C37</f>
        <v>46.5</v>
      </c>
      <c r="F37" s="35">
        <f t="shared" ref="F37:F51" si="7">ROUNDUP(E37*$C$32, 0)</f>
        <v>749</v>
      </c>
      <c r="G37" s="35">
        <f t="shared" ref="G37:G51" si="8">ROUNDUP($F$34, 0)</f>
        <v>45</v>
      </c>
      <c r="H37" s="32">
        <f t="shared" ref="H37:H51" si="9">F37+G37</f>
        <v>794</v>
      </c>
      <c r="I37" s="38" t="s">
        <v>45</v>
      </c>
      <c r="J37" s="30" t="s">
        <v>12</v>
      </c>
      <c r="K37" s="96">
        <v>2</v>
      </c>
      <c r="L37" s="94">
        <v>5.4</v>
      </c>
      <c r="M37" s="64">
        <v>8.1</v>
      </c>
      <c r="N37" s="64">
        <f>M37-L37</f>
        <v>2.6999999999999993</v>
      </c>
      <c r="O37" s="35">
        <f t="shared" ref="O37:O51" si="10">ROUNDUP(N37*$L$32, 0)</f>
        <v>102</v>
      </c>
      <c r="P37" s="36">
        <f>O34</f>
        <v>78</v>
      </c>
      <c r="Q37" s="37">
        <f t="shared" ref="Q37:Q51" si="11">O37+P37</f>
        <v>180</v>
      </c>
      <c r="R37" s="38" t="s">
        <v>45</v>
      </c>
    </row>
    <row r="38" spans="1:18" x14ac:dyDescent="0.3">
      <c r="A38" s="30" t="s">
        <v>13</v>
      </c>
      <c r="B38" s="96">
        <v>3</v>
      </c>
      <c r="C38" s="31">
        <v>6384.4</v>
      </c>
      <c r="D38" s="31">
        <v>6542.4</v>
      </c>
      <c r="E38" s="31">
        <f t="shared" ref="E38:E51" si="12">D38-C38</f>
        <v>158</v>
      </c>
      <c r="F38" s="35">
        <f t="shared" si="7"/>
        <v>2544</v>
      </c>
      <c r="G38" s="35">
        <f t="shared" si="8"/>
        <v>45</v>
      </c>
      <c r="H38" s="32">
        <f t="shared" si="9"/>
        <v>2589</v>
      </c>
      <c r="I38" s="38" t="s">
        <v>45</v>
      </c>
      <c r="J38" s="30" t="s">
        <v>13</v>
      </c>
      <c r="K38" s="96">
        <v>3</v>
      </c>
      <c r="L38" s="94">
        <v>353.6</v>
      </c>
      <c r="M38" s="64">
        <v>362.27</v>
      </c>
      <c r="N38" s="64">
        <f>M38-L38</f>
        <v>8.6699999999999591</v>
      </c>
      <c r="O38" s="35">
        <f t="shared" si="10"/>
        <v>326</v>
      </c>
      <c r="P38" s="36">
        <f>O34</f>
        <v>78</v>
      </c>
      <c r="Q38" s="37">
        <f t="shared" si="11"/>
        <v>404</v>
      </c>
      <c r="R38" s="38" t="s">
        <v>45</v>
      </c>
    </row>
    <row r="39" spans="1:18" x14ac:dyDescent="0.3">
      <c r="A39" s="30" t="s">
        <v>14</v>
      </c>
      <c r="B39" s="96">
        <v>4</v>
      </c>
      <c r="C39" s="31">
        <v>2692.2</v>
      </c>
      <c r="D39" s="31">
        <v>2767.3</v>
      </c>
      <c r="E39" s="31">
        <f t="shared" si="12"/>
        <v>75.100000000000364</v>
      </c>
      <c r="F39" s="35">
        <f t="shared" si="7"/>
        <v>1210</v>
      </c>
      <c r="G39" s="35">
        <f t="shared" si="8"/>
        <v>45</v>
      </c>
      <c r="H39" s="32">
        <f t="shared" si="9"/>
        <v>1255</v>
      </c>
      <c r="I39" s="38" t="s">
        <v>45</v>
      </c>
      <c r="J39" s="30" t="s">
        <v>14</v>
      </c>
      <c r="K39" s="96">
        <v>4</v>
      </c>
      <c r="L39" s="94">
        <v>174.1</v>
      </c>
      <c r="M39" s="64">
        <v>177.5</v>
      </c>
      <c r="N39" s="64">
        <f t="shared" si="6"/>
        <v>3.4000000000000057</v>
      </c>
      <c r="O39" s="35">
        <f t="shared" si="10"/>
        <v>128</v>
      </c>
      <c r="P39" s="36">
        <f>O34</f>
        <v>78</v>
      </c>
      <c r="Q39" s="37">
        <f t="shared" si="11"/>
        <v>206</v>
      </c>
      <c r="R39" s="38" t="s">
        <v>45</v>
      </c>
    </row>
    <row r="40" spans="1:18" x14ac:dyDescent="0.3">
      <c r="A40" s="30" t="s">
        <v>15</v>
      </c>
      <c r="B40" s="96">
        <v>5</v>
      </c>
      <c r="C40" s="31">
        <v>4009.6</v>
      </c>
      <c r="D40" s="31">
        <v>4145.8</v>
      </c>
      <c r="E40" s="31">
        <f t="shared" si="12"/>
        <v>136.20000000000027</v>
      </c>
      <c r="F40" s="35">
        <f t="shared" si="7"/>
        <v>2193</v>
      </c>
      <c r="G40" s="35">
        <f t="shared" si="8"/>
        <v>45</v>
      </c>
      <c r="H40" s="32">
        <f t="shared" si="9"/>
        <v>2238</v>
      </c>
      <c r="I40" s="38" t="s">
        <v>45</v>
      </c>
      <c r="J40" s="30" t="s">
        <v>15</v>
      </c>
      <c r="K40" s="96">
        <v>5</v>
      </c>
      <c r="L40" s="94">
        <v>200.7</v>
      </c>
      <c r="M40" s="64">
        <v>209.1</v>
      </c>
      <c r="N40" s="64">
        <f t="shared" si="6"/>
        <v>8.4000000000000057</v>
      </c>
      <c r="O40" s="35">
        <f t="shared" si="10"/>
        <v>316</v>
      </c>
      <c r="P40" s="36">
        <f>O34</f>
        <v>78</v>
      </c>
      <c r="Q40" s="37">
        <f t="shared" si="11"/>
        <v>394</v>
      </c>
      <c r="R40" s="38" t="s">
        <v>45</v>
      </c>
    </row>
    <row r="41" spans="1:18" x14ac:dyDescent="0.3">
      <c r="A41" s="39" t="s">
        <v>16</v>
      </c>
      <c r="B41" s="97" t="s">
        <v>5</v>
      </c>
      <c r="C41" s="40">
        <v>0</v>
      </c>
      <c r="D41" s="40">
        <v>105.6</v>
      </c>
      <c r="E41" s="40">
        <f t="shared" si="12"/>
        <v>105.6</v>
      </c>
      <c r="F41" s="35">
        <f t="shared" si="7"/>
        <v>1701</v>
      </c>
      <c r="G41" s="35">
        <f t="shared" si="8"/>
        <v>45</v>
      </c>
      <c r="H41" s="32">
        <f t="shared" si="9"/>
        <v>1746</v>
      </c>
      <c r="I41" s="38" t="s">
        <v>45</v>
      </c>
      <c r="J41" s="39" t="s">
        <v>16</v>
      </c>
      <c r="K41" s="97" t="s">
        <v>5</v>
      </c>
      <c r="L41" s="95">
        <v>156.80000000000001</v>
      </c>
      <c r="M41" s="40">
        <v>182.6</v>
      </c>
      <c r="N41" s="40">
        <f t="shared" si="6"/>
        <v>25.799999999999983</v>
      </c>
      <c r="O41" s="35">
        <f t="shared" si="10"/>
        <v>971</v>
      </c>
      <c r="P41" s="41">
        <f>O34</f>
        <v>78</v>
      </c>
      <c r="Q41" s="37">
        <f t="shared" si="11"/>
        <v>1049</v>
      </c>
      <c r="R41" s="38" t="s">
        <v>45</v>
      </c>
    </row>
    <row r="42" spans="1:18" x14ac:dyDescent="0.3">
      <c r="A42" s="39" t="s">
        <v>17</v>
      </c>
      <c r="B42" s="97">
        <v>8</v>
      </c>
      <c r="C42" s="40">
        <v>1394.6</v>
      </c>
      <c r="D42" s="31">
        <v>1444.1</v>
      </c>
      <c r="E42" s="40">
        <f t="shared" si="12"/>
        <v>49.5</v>
      </c>
      <c r="F42" s="35">
        <f t="shared" si="7"/>
        <v>797</v>
      </c>
      <c r="G42" s="35">
        <f t="shared" si="8"/>
        <v>45</v>
      </c>
      <c r="H42" s="32">
        <f t="shared" si="9"/>
        <v>842</v>
      </c>
      <c r="I42" s="38" t="s">
        <v>45</v>
      </c>
      <c r="J42" s="30" t="s">
        <v>17</v>
      </c>
      <c r="K42" s="96">
        <v>8</v>
      </c>
      <c r="L42" s="94">
        <v>255.8</v>
      </c>
      <c r="M42" s="64">
        <v>268.8</v>
      </c>
      <c r="N42" s="64">
        <f t="shared" si="6"/>
        <v>13</v>
      </c>
      <c r="O42" s="35">
        <f t="shared" si="10"/>
        <v>489</v>
      </c>
      <c r="P42" s="36">
        <f>O34</f>
        <v>78</v>
      </c>
      <c r="Q42" s="37">
        <f t="shared" si="11"/>
        <v>567</v>
      </c>
      <c r="R42" s="38" t="s">
        <v>45</v>
      </c>
    </row>
    <row r="43" spans="1:18" x14ac:dyDescent="0.3">
      <c r="A43" s="39" t="s">
        <v>18</v>
      </c>
      <c r="B43" s="97">
        <v>9</v>
      </c>
      <c r="C43" s="40">
        <v>2337.8000000000002</v>
      </c>
      <c r="D43" s="31">
        <v>2406.5</v>
      </c>
      <c r="E43" s="40">
        <f t="shared" si="12"/>
        <v>68.699999999999818</v>
      </c>
      <c r="F43" s="35">
        <f t="shared" si="7"/>
        <v>1107</v>
      </c>
      <c r="G43" s="35">
        <f t="shared" si="8"/>
        <v>45</v>
      </c>
      <c r="H43" s="32">
        <f t="shared" si="9"/>
        <v>1152</v>
      </c>
      <c r="I43" s="38" t="s">
        <v>45</v>
      </c>
      <c r="J43" s="30" t="s">
        <v>18</v>
      </c>
      <c r="K43" s="96">
        <v>9</v>
      </c>
      <c r="L43" s="94">
        <v>256.89999999999998</v>
      </c>
      <c r="M43" s="64">
        <v>260.5</v>
      </c>
      <c r="N43" s="64">
        <f t="shared" si="6"/>
        <v>3.6000000000000227</v>
      </c>
      <c r="O43" s="35">
        <f t="shared" si="10"/>
        <v>136</v>
      </c>
      <c r="P43" s="36">
        <f>O34</f>
        <v>78</v>
      </c>
      <c r="Q43" s="37">
        <f t="shared" si="11"/>
        <v>214</v>
      </c>
      <c r="R43" s="38" t="s">
        <v>45</v>
      </c>
    </row>
    <row r="44" spans="1:18" x14ac:dyDescent="0.3">
      <c r="A44" s="39" t="s">
        <v>19</v>
      </c>
      <c r="B44" s="97">
        <v>10</v>
      </c>
      <c r="C44" s="40">
        <v>2757.2</v>
      </c>
      <c r="D44" s="31">
        <v>2853.8</v>
      </c>
      <c r="E44" s="40">
        <f t="shared" si="12"/>
        <v>96.600000000000364</v>
      </c>
      <c r="F44" s="35">
        <f t="shared" si="7"/>
        <v>1556</v>
      </c>
      <c r="G44" s="35">
        <f t="shared" si="8"/>
        <v>45</v>
      </c>
      <c r="H44" s="32">
        <f t="shared" si="9"/>
        <v>1601</v>
      </c>
      <c r="I44" s="38" t="s">
        <v>45</v>
      </c>
      <c r="J44" s="30" t="s">
        <v>19</v>
      </c>
      <c r="K44" s="96">
        <v>10</v>
      </c>
      <c r="L44" s="94">
        <v>55</v>
      </c>
      <c r="M44" s="64">
        <v>62.5</v>
      </c>
      <c r="N44" s="64">
        <f t="shared" si="6"/>
        <v>7.5</v>
      </c>
      <c r="O44" s="35">
        <f t="shared" si="10"/>
        <v>282</v>
      </c>
      <c r="P44" s="36">
        <f>O34</f>
        <v>78</v>
      </c>
      <c r="Q44" s="37">
        <f t="shared" si="11"/>
        <v>360</v>
      </c>
      <c r="R44" s="38" t="s">
        <v>45</v>
      </c>
    </row>
    <row r="45" spans="1:18" x14ac:dyDescent="0.3">
      <c r="A45" s="39" t="s">
        <v>20</v>
      </c>
      <c r="B45" s="97">
        <v>11</v>
      </c>
      <c r="C45" s="40">
        <v>1031.9000000000001</v>
      </c>
      <c r="D45" s="31">
        <v>1128.0999999999999</v>
      </c>
      <c r="E45" s="40">
        <f t="shared" si="12"/>
        <v>96.199999999999818</v>
      </c>
      <c r="F45" s="35">
        <f t="shared" si="7"/>
        <v>1549</v>
      </c>
      <c r="G45" s="35">
        <f t="shared" si="8"/>
        <v>45</v>
      </c>
      <c r="H45" s="32">
        <f t="shared" si="9"/>
        <v>1594</v>
      </c>
      <c r="I45" s="38" t="s">
        <v>45</v>
      </c>
      <c r="J45" s="30" t="s">
        <v>20</v>
      </c>
      <c r="K45" s="96">
        <v>11</v>
      </c>
      <c r="L45" s="94">
        <v>97.7</v>
      </c>
      <c r="M45" s="64">
        <v>107.4</v>
      </c>
      <c r="N45" s="64">
        <f t="shared" si="6"/>
        <v>9.7000000000000028</v>
      </c>
      <c r="O45" s="35">
        <f t="shared" si="10"/>
        <v>365</v>
      </c>
      <c r="P45" s="36">
        <f>O34</f>
        <v>78</v>
      </c>
      <c r="Q45" s="37">
        <f t="shared" si="11"/>
        <v>443</v>
      </c>
      <c r="R45" s="38" t="s">
        <v>45</v>
      </c>
    </row>
    <row r="46" spans="1:18" x14ac:dyDescent="0.3">
      <c r="A46" s="39" t="s">
        <v>21</v>
      </c>
      <c r="B46" s="97">
        <v>12</v>
      </c>
      <c r="C46" s="40">
        <v>5248.6</v>
      </c>
      <c r="D46" s="31">
        <v>5487.2</v>
      </c>
      <c r="E46" s="40">
        <f t="shared" si="12"/>
        <v>238.59999999999945</v>
      </c>
      <c r="F46" s="35">
        <f t="shared" si="7"/>
        <v>3842</v>
      </c>
      <c r="G46" s="35">
        <f t="shared" si="8"/>
        <v>45</v>
      </c>
      <c r="H46" s="32">
        <f t="shared" si="9"/>
        <v>3887</v>
      </c>
      <c r="I46" s="38" t="s">
        <v>45</v>
      </c>
      <c r="J46" s="30" t="s">
        <v>21</v>
      </c>
      <c r="K46" s="96">
        <v>12</v>
      </c>
      <c r="L46" s="94">
        <v>14.8</v>
      </c>
      <c r="M46" s="64">
        <v>24.1</v>
      </c>
      <c r="N46" s="64">
        <f t="shared" si="6"/>
        <v>9.3000000000000007</v>
      </c>
      <c r="O46" s="35">
        <f t="shared" si="10"/>
        <v>350</v>
      </c>
      <c r="P46" s="36">
        <f>O34</f>
        <v>78</v>
      </c>
      <c r="Q46" s="37">
        <f t="shared" si="11"/>
        <v>428</v>
      </c>
      <c r="R46" s="38" t="s">
        <v>45</v>
      </c>
    </row>
    <row r="47" spans="1:18" x14ac:dyDescent="0.3">
      <c r="A47" s="39" t="s">
        <v>22</v>
      </c>
      <c r="B47" s="97">
        <v>13</v>
      </c>
      <c r="C47" s="40">
        <v>3342.6</v>
      </c>
      <c r="D47" s="31">
        <v>3449.9</v>
      </c>
      <c r="E47" s="40">
        <f t="shared" si="12"/>
        <v>107.30000000000018</v>
      </c>
      <c r="F47" s="35">
        <f t="shared" si="7"/>
        <v>1728</v>
      </c>
      <c r="G47" s="35">
        <f t="shared" si="8"/>
        <v>45</v>
      </c>
      <c r="H47" s="32">
        <f t="shared" si="9"/>
        <v>1773</v>
      </c>
      <c r="I47" s="38" t="s">
        <v>45</v>
      </c>
      <c r="J47" s="30" t="s">
        <v>22</v>
      </c>
      <c r="K47" s="96">
        <v>13</v>
      </c>
      <c r="L47" s="94">
        <v>15</v>
      </c>
      <c r="M47" s="64">
        <v>22.3</v>
      </c>
      <c r="N47" s="64">
        <f t="shared" si="6"/>
        <v>7.3000000000000007</v>
      </c>
      <c r="O47" s="35">
        <f t="shared" si="10"/>
        <v>275</v>
      </c>
      <c r="P47" s="36">
        <f>O34</f>
        <v>78</v>
      </c>
      <c r="Q47" s="37">
        <f t="shared" si="11"/>
        <v>353</v>
      </c>
      <c r="R47" s="38" t="s">
        <v>45</v>
      </c>
    </row>
    <row r="48" spans="1:18" x14ac:dyDescent="0.3">
      <c r="A48" s="39" t="s">
        <v>23</v>
      </c>
      <c r="B48" s="97">
        <v>14</v>
      </c>
      <c r="C48" s="40">
        <v>4986</v>
      </c>
      <c r="D48" s="31">
        <v>5038.8999999999996</v>
      </c>
      <c r="E48" s="40">
        <f t="shared" si="12"/>
        <v>52.899999999999636</v>
      </c>
      <c r="F48" s="35">
        <f t="shared" si="7"/>
        <v>852</v>
      </c>
      <c r="G48" s="35">
        <f t="shared" si="8"/>
        <v>45</v>
      </c>
      <c r="H48" s="32">
        <f t="shared" si="9"/>
        <v>897</v>
      </c>
      <c r="I48" s="38" t="s">
        <v>45</v>
      </c>
      <c r="J48" s="39" t="s">
        <v>23</v>
      </c>
      <c r="K48" s="96">
        <v>14</v>
      </c>
      <c r="L48" s="94">
        <v>5.0999999999999996</v>
      </c>
      <c r="M48" s="64">
        <v>8.3000000000000007</v>
      </c>
      <c r="N48" s="64">
        <f t="shared" si="6"/>
        <v>3.2000000000000011</v>
      </c>
      <c r="O48" s="35">
        <f t="shared" si="10"/>
        <v>121</v>
      </c>
      <c r="P48" s="36">
        <f>O34</f>
        <v>78</v>
      </c>
      <c r="Q48" s="37">
        <f t="shared" si="11"/>
        <v>199</v>
      </c>
      <c r="R48" s="38" t="s">
        <v>45</v>
      </c>
    </row>
    <row r="49" spans="1:18" x14ac:dyDescent="0.3">
      <c r="A49" s="39" t="s">
        <v>24</v>
      </c>
      <c r="B49" s="97">
        <v>15</v>
      </c>
      <c r="C49" s="40">
        <v>0</v>
      </c>
      <c r="D49" s="40">
        <v>26</v>
      </c>
      <c r="E49" s="40">
        <f>33.9</f>
        <v>33.9</v>
      </c>
      <c r="F49" s="35">
        <f>ROUNDUP(E49*$C$32, 0)</f>
        <v>546</v>
      </c>
      <c r="G49" s="35">
        <f t="shared" si="8"/>
        <v>45</v>
      </c>
      <c r="H49" s="32">
        <f t="shared" si="9"/>
        <v>591</v>
      </c>
      <c r="I49" s="38" t="s">
        <v>45</v>
      </c>
      <c r="J49" s="30" t="s">
        <v>24</v>
      </c>
      <c r="K49" s="97">
        <v>15</v>
      </c>
      <c r="L49" s="95">
        <v>349.8</v>
      </c>
      <c r="M49" s="40">
        <v>359.9</v>
      </c>
      <c r="N49" s="40">
        <f t="shared" si="6"/>
        <v>10.099999999999966</v>
      </c>
      <c r="O49" s="35">
        <f t="shared" si="10"/>
        <v>380</v>
      </c>
      <c r="P49" s="36">
        <f>O34</f>
        <v>78</v>
      </c>
      <c r="Q49" s="37">
        <f t="shared" si="11"/>
        <v>458</v>
      </c>
      <c r="R49" s="38" t="s">
        <v>45</v>
      </c>
    </row>
    <row r="50" spans="1:18" x14ac:dyDescent="0.3">
      <c r="A50" s="39" t="s">
        <v>25</v>
      </c>
      <c r="B50" s="96">
        <v>16</v>
      </c>
      <c r="C50" s="31">
        <v>148.19999999999999</v>
      </c>
      <c r="D50" s="31">
        <v>155.4</v>
      </c>
      <c r="E50" s="31">
        <f t="shared" si="12"/>
        <v>7.2000000000000171</v>
      </c>
      <c r="F50" s="35">
        <f t="shared" si="7"/>
        <v>116</v>
      </c>
      <c r="G50" s="35">
        <f t="shared" si="8"/>
        <v>45</v>
      </c>
      <c r="H50" s="32">
        <f t="shared" si="9"/>
        <v>161</v>
      </c>
      <c r="I50" s="38" t="s">
        <v>45</v>
      </c>
      <c r="J50" s="30" t="s">
        <v>40</v>
      </c>
      <c r="K50" s="96">
        <v>16</v>
      </c>
      <c r="L50" s="94">
        <v>42.3</v>
      </c>
      <c r="M50" s="64">
        <v>45.8</v>
      </c>
      <c r="N50" s="64">
        <f t="shared" si="6"/>
        <v>3.5</v>
      </c>
      <c r="O50" s="35">
        <f t="shared" si="10"/>
        <v>132</v>
      </c>
      <c r="P50" s="36">
        <f>O34</f>
        <v>78</v>
      </c>
      <c r="Q50" s="37">
        <f t="shared" si="11"/>
        <v>210</v>
      </c>
      <c r="R50" s="38" t="s">
        <v>45</v>
      </c>
    </row>
    <row r="51" spans="1:18" x14ac:dyDescent="0.3">
      <c r="A51" s="72" t="s">
        <v>2</v>
      </c>
      <c r="B51" s="73"/>
      <c r="C51" s="31">
        <v>9615</v>
      </c>
      <c r="D51" s="31">
        <v>9984.9</v>
      </c>
      <c r="E51" s="31">
        <f t="shared" si="12"/>
        <v>369.89999999999964</v>
      </c>
      <c r="F51" s="35">
        <f t="shared" si="7"/>
        <v>5956</v>
      </c>
      <c r="G51" s="35">
        <f t="shared" si="8"/>
        <v>45</v>
      </c>
      <c r="H51" s="32">
        <f t="shared" si="9"/>
        <v>6001</v>
      </c>
      <c r="I51" s="38" t="s">
        <v>45</v>
      </c>
      <c r="J51" s="72" t="s">
        <v>2</v>
      </c>
      <c r="K51" s="73"/>
      <c r="L51" s="94">
        <v>554.1</v>
      </c>
      <c r="M51" s="64">
        <v>573.29999999999995</v>
      </c>
      <c r="N51" s="64">
        <f t="shared" si="6"/>
        <v>19.199999999999932</v>
      </c>
      <c r="O51" s="35">
        <f t="shared" si="10"/>
        <v>722</v>
      </c>
      <c r="P51" s="36">
        <f>O34</f>
        <v>78</v>
      </c>
      <c r="Q51" s="37">
        <f t="shared" si="11"/>
        <v>800</v>
      </c>
      <c r="R51" s="38" t="s">
        <v>45</v>
      </c>
    </row>
    <row r="52" spans="1:18" ht="15" thickBot="1" x14ac:dyDescent="0.35">
      <c r="A52" s="85" t="s">
        <v>28</v>
      </c>
      <c r="B52" s="86"/>
      <c r="C52" s="86"/>
      <c r="D52" s="87"/>
      <c r="E52" s="58">
        <f>SUM(E36:E51)</f>
        <v>1713.5999999999997</v>
      </c>
      <c r="F52" s="53">
        <f>SUM(F36:F51)</f>
        <v>27596</v>
      </c>
      <c r="G52" s="53">
        <f>SUM(G36:G51)</f>
        <v>720</v>
      </c>
      <c r="H52" s="53">
        <f>SUM(H36:H51)</f>
        <v>28316</v>
      </c>
      <c r="I52" s="59"/>
      <c r="J52" s="88" t="s">
        <v>28</v>
      </c>
      <c r="K52" s="89"/>
      <c r="L52" s="89"/>
      <c r="M52" s="89"/>
      <c r="N52" s="54">
        <f>SUM(N36:N51)</f>
        <v>144.96999999999991</v>
      </c>
      <c r="O52" s="55">
        <f>SUM(O36:O51)</f>
        <v>5456</v>
      </c>
      <c r="P52" s="56">
        <f>SUM(P36:P51)</f>
        <v>1248</v>
      </c>
      <c r="Q52" s="56">
        <f>SUM(Q36:Q51)</f>
        <v>6704</v>
      </c>
      <c r="R52" s="60"/>
    </row>
    <row r="53" spans="1:18" ht="15" thickBot="1" x14ac:dyDescent="0.35">
      <c r="A53" s="3"/>
      <c r="B53" s="4"/>
      <c r="C53" s="3"/>
      <c r="D53" s="3"/>
      <c r="E53" s="4"/>
      <c r="F53" s="8"/>
      <c r="G53" s="8"/>
      <c r="H53" s="9"/>
      <c r="I53" s="6"/>
      <c r="J53" s="6"/>
      <c r="K53" s="5"/>
      <c r="L53" s="6"/>
      <c r="M53" s="5"/>
      <c r="N53" s="5"/>
      <c r="O53" s="9"/>
      <c r="P53" s="6"/>
      <c r="Q53" s="6"/>
      <c r="R53" s="3"/>
    </row>
    <row r="54" spans="1:18" ht="15" thickBot="1" x14ac:dyDescent="0.35">
      <c r="A54" s="66" t="s">
        <v>42</v>
      </c>
      <c r="B54" s="67"/>
      <c r="C54" s="67"/>
      <c r="D54" s="67"/>
      <c r="E54" s="67"/>
      <c r="F54" s="67"/>
      <c r="G54" s="67"/>
      <c r="H54" s="67"/>
      <c r="I54" s="68"/>
      <c r="J54" s="66" t="s">
        <v>42</v>
      </c>
      <c r="K54" s="67"/>
      <c r="L54" s="67"/>
      <c r="M54" s="67"/>
      <c r="N54" s="67"/>
      <c r="O54" s="67"/>
      <c r="P54" s="67"/>
      <c r="Q54" s="67"/>
      <c r="R54" s="68"/>
    </row>
    <row r="55" spans="1:18" ht="15" thickBot="1" x14ac:dyDescent="0.35">
      <c r="A55" s="69" t="s">
        <v>6</v>
      </c>
      <c r="B55" s="70"/>
      <c r="C55" s="70"/>
      <c r="D55" s="70"/>
      <c r="E55" s="70"/>
      <c r="F55" s="70"/>
      <c r="G55" s="70"/>
      <c r="H55" s="70"/>
      <c r="I55" s="71"/>
      <c r="J55" s="82" t="s">
        <v>7</v>
      </c>
      <c r="K55" s="83"/>
      <c r="L55" s="83"/>
      <c r="M55" s="83"/>
      <c r="N55" s="83"/>
      <c r="O55" s="83"/>
      <c r="P55" s="83"/>
      <c r="Q55" s="83"/>
      <c r="R55" s="84"/>
    </row>
    <row r="56" spans="1:18" ht="15" thickBot="1" x14ac:dyDescent="0.35">
      <c r="A56" s="11" t="s">
        <v>30</v>
      </c>
      <c r="B56" s="12"/>
      <c r="C56" s="13">
        <v>16.059999999999999</v>
      </c>
      <c r="D56" s="14"/>
      <c r="E56" s="11" t="s">
        <v>26</v>
      </c>
      <c r="F56" s="13">
        <v>28669.69</v>
      </c>
      <c r="G56" s="14"/>
      <c r="H56" s="15" t="s">
        <v>33</v>
      </c>
      <c r="I56" s="16"/>
      <c r="J56" s="11" t="s">
        <v>39</v>
      </c>
      <c r="K56" s="12"/>
      <c r="L56" s="13">
        <v>34.75</v>
      </c>
      <c r="M56" s="14"/>
      <c r="N56" s="11" t="s">
        <v>26</v>
      </c>
      <c r="O56" s="13">
        <v>6335</v>
      </c>
      <c r="P56" s="14"/>
      <c r="Q56" s="15" t="s">
        <v>33</v>
      </c>
      <c r="R56" s="16"/>
    </row>
    <row r="57" spans="1:18" ht="15" thickBot="1" x14ac:dyDescent="0.35">
      <c r="A57" s="17" t="s">
        <v>35</v>
      </c>
      <c r="B57" s="18"/>
      <c r="C57" s="19">
        <v>1785</v>
      </c>
      <c r="D57" s="14"/>
      <c r="E57" s="17" t="s">
        <v>34</v>
      </c>
      <c r="F57" s="19">
        <f>F56-F76</f>
        <v>509.68999999999869</v>
      </c>
      <c r="G57" s="14"/>
      <c r="H57" s="20" t="s">
        <v>49</v>
      </c>
      <c r="I57" s="16"/>
      <c r="J57" s="17" t="s">
        <v>35</v>
      </c>
      <c r="K57" s="18"/>
      <c r="L57" s="19">
        <v>0</v>
      </c>
      <c r="M57" s="14"/>
      <c r="N57" s="17" t="s">
        <v>34</v>
      </c>
      <c r="O57" s="19">
        <f>ROUNDUP(O56-O76, 0)</f>
        <v>1330</v>
      </c>
      <c r="P57" s="14"/>
      <c r="Q57" s="20" t="s">
        <v>50</v>
      </c>
      <c r="R57" s="16"/>
    </row>
    <row r="58" spans="1:18" ht="15" thickBot="1" x14ac:dyDescent="0.35">
      <c r="A58" s="17" t="s">
        <v>32</v>
      </c>
      <c r="B58" s="18"/>
      <c r="C58" s="19">
        <v>0</v>
      </c>
      <c r="D58" s="21"/>
      <c r="E58" s="17" t="s">
        <v>27</v>
      </c>
      <c r="F58" s="19">
        <f>F57/16</f>
        <v>31.855624999999918</v>
      </c>
      <c r="G58" s="14"/>
      <c r="H58" s="14"/>
      <c r="I58" s="16"/>
      <c r="J58" s="17" t="s">
        <v>32</v>
      </c>
      <c r="K58" s="18"/>
      <c r="L58" s="19">
        <v>0</v>
      </c>
      <c r="M58" s="21"/>
      <c r="N58" s="17" t="s">
        <v>27</v>
      </c>
      <c r="O58" s="19">
        <f>ROUNDUP(O57/16, 0)</f>
        <v>84</v>
      </c>
      <c r="P58" s="14"/>
      <c r="Q58" s="14"/>
      <c r="R58" s="16"/>
    </row>
    <row r="59" spans="1:18" ht="29.4" customHeight="1" x14ac:dyDescent="0.3">
      <c r="A59" s="22" t="s">
        <v>3</v>
      </c>
      <c r="B59" s="23" t="s">
        <v>8</v>
      </c>
      <c r="C59" s="23" t="s">
        <v>0</v>
      </c>
      <c r="D59" s="24" t="s">
        <v>1</v>
      </c>
      <c r="E59" s="23" t="s">
        <v>9</v>
      </c>
      <c r="F59" s="23" t="s">
        <v>10</v>
      </c>
      <c r="G59" s="24" t="s">
        <v>41</v>
      </c>
      <c r="H59" s="24" t="s">
        <v>29</v>
      </c>
      <c r="I59" s="25" t="s">
        <v>36</v>
      </c>
      <c r="J59" s="26" t="s">
        <v>3</v>
      </c>
      <c r="K59" s="27" t="s">
        <v>8</v>
      </c>
      <c r="L59" s="27" t="s">
        <v>0</v>
      </c>
      <c r="M59" s="28" t="s">
        <v>1</v>
      </c>
      <c r="N59" s="27" t="s">
        <v>38</v>
      </c>
      <c r="O59" s="27" t="s">
        <v>10</v>
      </c>
      <c r="P59" s="28" t="s">
        <v>41</v>
      </c>
      <c r="Q59" s="28" t="s">
        <v>29</v>
      </c>
      <c r="R59" s="29" t="s">
        <v>36</v>
      </c>
    </row>
    <row r="60" spans="1:18" x14ac:dyDescent="0.3">
      <c r="A60" s="30" t="s">
        <v>11</v>
      </c>
      <c r="B60" s="96">
        <v>1</v>
      </c>
      <c r="C60" s="31">
        <v>2871.4</v>
      </c>
      <c r="D60" s="31">
        <v>2944.7</v>
      </c>
      <c r="E60" s="31">
        <f>D60-C60</f>
        <v>73.299999999999727</v>
      </c>
      <c r="F60" s="35">
        <f>ROUNDUP(E60*$C$56, 0)</f>
        <v>1178</v>
      </c>
      <c r="G60" s="35">
        <f>ROUNDUP($F$58, 0)</f>
        <v>32</v>
      </c>
      <c r="H60" s="32">
        <f>F60+G60</f>
        <v>1210</v>
      </c>
      <c r="I60" s="38" t="s">
        <v>45</v>
      </c>
      <c r="J60" s="30" t="s">
        <v>11</v>
      </c>
      <c r="K60" s="96">
        <v>1</v>
      </c>
      <c r="L60" s="31">
        <v>430.6</v>
      </c>
      <c r="M60" s="31">
        <v>440.6</v>
      </c>
      <c r="N60" s="31">
        <f t="shared" ref="N60" si="13">M60-L60</f>
        <v>10</v>
      </c>
      <c r="O60" s="35">
        <f>ROUNDUP(N60*$L$56, 0)</f>
        <v>348</v>
      </c>
      <c r="P60" s="36">
        <f>O58</f>
        <v>84</v>
      </c>
      <c r="Q60" s="37">
        <f>O60+P60</f>
        <v>432</v>
      </c>
      <c r="R60" s="38" t="s">
        <v>45</v>
      </c>
    </row>
    <row r="61" spans="1:18" x14ac:dyDescent="0.3">
      <c r="A61" s="30" t="s">
        <v>12</v>
      </c>
      <c r="B61" s="96">
        <v>2</v>
      </c>
      <c r="C61" s="31">
        <v>960.6</v>
      </c>
      <c r="D61" s="31">
        <v>1007</v>
      </c>
      <c r="E61" s="31">
        <f>D61-C61</f>
        <v>46.399999999999977</v>
      </c>
      <c r="F61" s="35">
        <f t="shared" ref="F61:F75" si="14">ROUNDUP(E61*$C$56, 0)</f>
        <v>746</v>
      </c>
      <c r="G61" s="35">
        <f t="shared" ref="G61:G75" si="15">ROUNDUP($F$58, 0)</f>
        <v>32</v>
      </c>
      <c r="H61" s="32">
        <f t="shared" ref="H61:H75" si="16">F61+G61</f>
        <v>778</v>
      </c>
      <c r="I61" s="38" t="s">
        <v>45</v>
      </c>
      <c r="J61" s="30" t="s">
        <v>12</v>
      </c>
      <c r="K61" s="96">
        <v>2</v>
      </c>
      <c r="L61" s="31">
        <v>8.1</v>
      </c>
      <c r="M61" s="31">
        <v>11.7</v>
      </c>
      <c r="N61" s="31">
        <f>M61-L61</f>
        <v>3.5999999999999996</v>
      </c>
      <c r="O61" s="35">
        <f t="shared" ref="O61:O75" si="17">ROUNDUP(N61*$L$56, 0)</f>
        <v>126</v>
      </c>
      <c r="P61" s="36">
        <f>O58</f>
        <v>84</v>
      </c>
      <c r="Q61" s="37">
        <f t="shared" ref="Q61:Q75" si="18">O61+P61</f>
        <v>210</v>
      </c>
      <c r="R61" s="38" t="s">
        <v>45</v>
      </c>
    </row>
    <row r="62" spans="1:18" x14ac:dyDescent="0.3">
      <c r="A62" s="30" t="s">
        <v>13</v>
      </c>
      <c r="B62" s="96">
        <v>3</v>
      </c>
      <c r="C62" s="31">
        <v>6542.4</v>
      </c>
      <c r="D62" s="31">
        <v>6680.9</v>
      </c>
      <c r="E62" s="31">
        <f t="shared" ref="E62:E73" si="19">D62-C62</f>
        <v>138.5</v>
      </c>
      <c r="F62" s="35">
        <f t="shared" si="14"/>
        <v>2225</v>
      </c>
      <c r="G62" s="35">
        <f t="shared" si="15"/>
        <v>32</v>
      </c>
      <c r="H62" s="32">
        <f t="shared" si="16"/>
        <v>2257</v>
      </c>
      <c r="I62" s="38" t="s">
        <v>45</v>
      </c>
      <c r="J62" s="30" t="s">
        <v>13</v>
      </c>
      <c r="K62" s="96">
        <v>3</v>
      </c>
      <c r="L62" s="31">
        <v>362.27</v>
      </c>
      <c r="M62" s="31">
        <v>369.7</v>
      </c>
      <c r="N62" s="31">
        <f t="shared" ref="N62:N75" si="20">M62-L62</f>
        <v>7.4300000000000068</v>
      </c>
      <c r="O62" s="35">
        <f t="shared" si="17"/>
        <v>259</v>
      </c>
      <c r="P62" s="36">
        <f>O58</f>
        <v>84</v>
      </c>
      <c r="Q62" s="37">
        <f t="shared" si="18"/>
        <v>343</v>
      </c>
      <c r="R62" s="38" t="s">
        <v>45</v>
      </c>
    </row>
    <row r="63" spans="1:18" x14ac:dyDescent="0.3">
      <c r="A63" s="30" t="s">
        <v>14</v>
      </c>
      <c r="B63" s="96">
        <v>4</v>
      </c>
      <c r="C63" s="31">
        <v>2767.3</v>
      </c>
      <c r="D63" s="31">
        <v>2841.1</v>
      </c>
      <c r="E63" s="31">
        <f t="shared" si="19"/>
        <v>73.799999999999727</v>
      </c>
      <c r="F63" s="35">
        <f t="shared" si="14"/>
        <v>1186</v>
      </c>
      <c r="G63" s="35">
        <f t="shared" si="15"/>
        <v>32</v>
      </c>
      <c r="H63" s="32">
        <f t="shared" si="16"/>
        <v>1218</v>
      </c>
      <c r="I63" s="38" t="s">
        <v>45</v>
      </c>
      <c r="J63" s="30" t="s">
        <v>14</v>
      </c>
      <c r="K63" s="96">
        <v>4</v>
      </c>
      <c r="L63" s="31">
        <v>177.5</v>
      </c>
      <c r="M63" s="31">
        <v>181.8</v>
      </c>
      <c r="N63" s="31">
        <f t="shared" si="20"/>
        <v>4.3000000000000114</v>
      </c>
      <c r="O63" s="35">
        <f t="shared" si="17"/>
        <v>150</v>
      </c>
      <c r="P63" s="36">
        <f>O58</f>
        <v>84</v>
      </c>
      <c r="Q63" s="37">
        <f t="shared" si="18"/>
        <v>234</v>
      </c>
      <c r="R63" s="38" t="s">
        <v>45</v>
      </c>
    </row>
    <row r="64" spans="1:18" x14ac:dyDescent="0.3">
      <c r="A64" s="30" t="s">
        <v>15</v>
      </c>
      <c r="B64" s="96">
        <v>5</v>
      </c>
      <c r="C64" s="31">
        <v>4145.8</v>
      </c>
      <c r="D64" s="31">
        <v>4281.8</v>
      </c>
      <c r="E64" s="31">
        <f t="shared" si="19"/>
        <v>136</v>
      </c>
      <c r="F64" s="35">
        <f t="shared" si="14"/>
        <v>2185</v>
      </c>
      <c r="G64" s="35">
        <f t="shared" si="15"/>
        <v>32</v>
      </c>
      <c r="H64" s="32">
        <f t="shared" si="16"/>
        <v>2217</v>
      </c>
      <c r="I64" s="38" t="s">
        <v>45</v>
      </c>
      <c r="J64" s="30" t="s">
        <v>15</v>
      </c>
      <c r="K64" s="96">
        <v>5</v>
      </c>
      <c r="L64" s="31">
        <v>209.1</v>
      </c>
      <c r="M64" s="31">
        <v>215.5</v>
      </c>
      <c r="N64" s="31">
        <f t="shared" si="20"/>
        <v>6.4000000000000057</v>
      </c>
      <c r="O64" s="35">
        <f t="shared" si="17"/>
        <v>223</v>
      </c>
      <c r="P64" s="36">
        <f>O58</f>
        <v>84</v>
      </c>
      <c r="Q64" s="37">
        <f t="shared" si="18"/>
        <v>307</v>
      </c>
      <c r="R64" s="38" t="s">
        <v>45</v>
      </c>
    </row>
    <row r="65" spans="1:19" x14ac:dyDescent="0.3">
      <c r="A65" s="39" t="s">
        <v>16</v>
      </c>
      <c r="B65" s="97" t="s">
        <v>5</v>
      </c>
      <c r="C65" s="40">
        <v>105.6</v>
      </c>
      <c r="D65" s="31">
        <v>223.1</v>
      </c>
      <c r="E65" s="40">
        <f t="shared" si="19"/>
        <v>117.5</v>
      </c>
      <c r="F65" s="35">
        <f t="shared" si="14"/>
        <v>1888</v>
      </c>
      <c r="G65" s="35">
        <f t="shared" si="15"/>
        <v>32</v>
      </c>
      <c r="H65" s="32">
        <f t="shared" si="16"/>
        <v>1920</v>
      </c>
      <c r="I65" s="38" t="s">
        <v>45</v>
      </c>
      <c r="J65" s="39" t="s">
        <v>16</v>
      </c>
      <c r="K65" s="97" t="s">
        <v>5</v>
      </c>
      <c r="L65" s="40">
        <v>182.6</v>
      </c>
      <c r="M65" s="31">
        <v>201.5</v>
      </c>
      <c r="N65" s="40">
        <f t="shared" si="20"/>
        <v>18.900000000000006</v>
      </c>
      <c r="O65" s="35">
        <f t="shared" si="17"/>
        <v>657</v>
      </c>
      <c r="P65" s="41">
        <f>O58</f>
        <v>84</v>
      </c>
      <c r="Q65" s="37">
        <f t="shared" si="18"/>
        <v>741</v>
      </c>
      <c r="R65" s="38" t="s">
        <v>45</v>
      </c>
    </row>
    <row r="66" spans="1:19" x14ac:dyDescent="0.3">
      <c r="A66" s="39" t="s">
        <v>17</v>
      </c>
      <c r="B66" s="97">
        <v>8</v>
      </c>
      <c r="C66" s="31">
        <v>1444.1</v>
      </c>
      <c r="D66" s="31">
        <v>1521</v>
      </c>
      <c r="E66" s="40">
        <f t="shared" si="19"/>
        <v>76.900000000000091</v>
      </c>
      <c r="F66" s="35">
        <f t="shared" si="14"/>
        <v>1236</v>
      </c>
      <c r="G66" s="35">
        <f t="shared" si="15"/>
        <v>32</v>
      </c>
      <c r="H66" s="32">
        <f t="shared" si="16"/>
        <v>1268</v>
      </c>
      <c r="I66" s="38" t="s">
        <v>45</v>
      </c>
      <c r="J66" s="30" t="s">
        <v>17</v>
      </c>
      <c r="K66" s="96">
        <v>8</v>
      </c>
      <c r="L66" s="31">
        <v>268.8</v>
      </c>
      <c r="M66" s="31"/>
      <c r="N66" s="31"/>
      <c r="O66" s="98">
        <v>573</v>
      </c>
      <c r="P66" s="36">
        <f>O58</f>
        <v>84</v>
      </c>
      <c r="Q66" s="37">
        <f>O66+P66</f>
        <v>657</v>
      </c>
      <c r="R66" s="38" t="s">
        <v>45</v>
      </c>
    </row>
    <row r="67" spans="1:19" x14ac:dyDescent="0.3">
      <c r="A67" s="39" t="s">
        <v>18</v>
      </c>
      <c r="B67" s="97">
        <v>9</v>
      </c>
      <c r="C67" s="31">
        <v>2406.5</v>
      </c>
      <c r="D67" s="31">
        <v>2480.1999999999998</v>
      </c>
      <c r="E67" s="40">
        <f t="shared" si="19"/>
        <v>73.699999999999818</v>
      </c>
      <c r="F67" s="35">
        <f t="shared" si="14"/>
        <v>1184</v>
      </c>
      <c r="G67" s="35">
        <f t="shared" si="15"/>
        <v>32</v>
      </c>
      <c r="H67" s="32">
        <f t="shared" si="16"/>
        <v>1216</v>
      </c>
      <c r="I67" s="38" t="s">
        <v>45</v>
      </c>
      <c r="J67" s="30" t="s">
        <v>18</v>
      </c>
      <c r="K67" s="96">
        <v>9</v>
      </c>
      <c r="L67" s="31">
        <v>260.5</v>
      </c>
      <c r="M67" s="31">
        <v>264.8</v>
      </c>
      <c r="N67" s="31">
        <f t="shared" si="20"/>
        <v>4.3000000000000114</v>
      </c>
      <c r="O67" s="35">
        <f t="shared" si="17"/>
        <v>150</v>
      </c>
      <c r="P67" s="36">
        <f>O58</f>
        <v>84</v>
      </c>
      <c r="Q67" s="37">
        <f t="shared" si="18"/>
        <v>234</v>
      </c>
      <c r="R67" s="38" t="s">
        <v>45</v>
      </c>
    </row>
    <row r="68" spans="1:19" x14ac:dyDescent="0.3">
      <c r="A68" s="39" t="s">
        <v>19</v>
      </c>
      <c r="B68" s="97">
        <v>10</v>
      </c>
      <c r="C68" s="31">
        <v>2853.8</v>
      </c>
      <c r="D68" s="31">
        <v>2993.9</v>
      </c>
      <c r="E68" s="40">
        <f t="shared" si="19"/>
        <v>140.09999999999991</v>
      </c>
      <c r="F68" s="35">
        <f t="shared" si="14"/>
        <v>2251</v>
      </c>
      <c r="G68" s="35">
        <f t="shared" si="15"/>
        <v>32</v>
      </c>
      <c r="H68" s="32">
        <f t="shared" si="16"/>
        <v>2283</v>
      </c>
      <c r="I68" s="38" t="s">
        <v>45</v>
      </c>
      <c r="J68" s="30" t="s">
        <v>19</v>
      </c>
      <c r="K68" s="96">
        <v>10</v>
      </c>
      <c r="L68" s="31">
        <v>62.5</v>
      </c>
      <c r="M68" s="31">
        <v>68.8</v>
      </c>
      <c r="N68" s="31">
        <f t="shared" si="20"/>
        <v>6.2999999999999972</v>
      </c>
      <c r="O68" s="35">
        <f t="shared" si="17"/>
        <v>219</v>
      </c>
      <c r="P68" s="36">
        <f>O58</f>
        <v>84</v>
      </c>
      <c r="Q68" s="37">
        <f t="shared" si="18"/>
        <v>303</v>
      </c>
      <c r="R68" s="38" t="s">
        <v>45</v>
      </c>
    </row>
    <row r="69" spans="1:19" x14ac:dyDescent="0.3">
      <c r="A69" s="39" t="s">
        <v>20</v>
      </c>
      <c r="B69" s="97">
        <v>11</v>
      </c>
      <c r="C69" s="31">
        <v>1128.0999999999999</v>
      </c>
      <c r="D69" s="31">
        <v>1253.3</v>
      </c>
      <c r="E69" s="40">
        <f t="shared" si="19"/>
        <v>125.20000000000005</v>
      </c>
      <c r="F69" s="35">
        <f t="shared" si="14"/>
        <v>2011</v>
      </c>
      <c r="G69" s="35">
        <f t="shared" si="15"/>
        <v>32</v>
      </c>
      <c r="H69" s="32">
        <f t="shared" si="16"/>
        <v>2043</v>
      </c>
      <c r="I69" s="38" t="s">
        <v>45</v>
      </c>
      <c r="J69" s="30" t="s">
        <v>20</v>
      </c>
      <c r="K69" s="96">
        <v>11</v>
      </c>
      <c r="L69" s="31">
        <v>107.4</v>
      </c>
      <c r="M69" s="31">
        <v>127.5</v>
      </c>
      <c r="N69" s="31">
        <f t="shared" si="20"/>
        <v>20.099999999999994</v>
      </c>
      <c r="O69" s="35">
        <f t="shared" si="17"/>
        <v>699</v>
      </c>
      <c r="P69" s="36">
        <f>O58</f>
        <v>84</v>
      </c>
      <c r="Q69" s="37">
        <f t="shared" si="18"/>
        <v>783</v>
      </c>
      <c r="R69" s="38" t="s">
        <v>45</v>
      </c>
    </row>
    <row r="70" spans="1:19" x14ac:dyDescent="0.3">
      <c r="A70" s="39" t="s">
        <v>21</v>
      </c>
      <c r="B70" s="97">
        <v>12</v>
      </c>
      <c r="C70" s="31">
        <v>5487.2</v>
      </c>
      <c r="D70" s="31">
        <v>5682.5</v>
      </c>
      <c r="E70" s="40">
        <f t="shared" si="19"/>
        <v>195.30000000000018</v>
      </c>
      <c r="F70" s="35">
        <f t="shared" si="14"/>
        <v>3137</v>
      </c>
      <c r="G70" s="35">
        <f t="shared" si="15"/>
        <v>32</v>
      </c>
      <c r="H70" s="32">
        <f t="shared" si="16"/>
        <v>3169</v>
      </c>
      <c r="I70" s="38" t="s">
        <v>45</v>
      </c>
      <c r="J70" s="30" t="s">
        <v>21</v>
      </c>
      <c r="K70" s="96">
        <v>12</v>
      </c>
      <c r="L70" s="31">
        <v>24.1</v>
      </c>
      <c r="M70" s="31">
        <v>32.1</v>
      </c>
      <c r="N70" s="31">
        <f t="shared" si="20"/>
        <v>8</v>
      </c>
      <c r="O70" s="35">
        <f t="shared" si="17"/>
        <v>278</v>
      </c>
      <c r="P70" s="36">
        <f>O58</f>
        <v>84</v>
      </c>
      <c r="Q70" s="37">
        <f t="shared" si="18"/>
        <v>362</v>
      </c>
      <c r="R70" s="38" t="s">
        <v>45</v>
      </c>
    </row>
    <row r="71" spans="1:19" x14ac:dyDescent="0.3">
      <c r="A71" s="39" t="s">
        <v>22</v>
      </c>
      <c r="B71" s="97">
        <v>13</v>
      </c>
      <c r="C71" s="31">
        <v>3449.9</v>
      </c>
      <c r="D71" s="31">
        <v>3544.8</v>
      </c>
      <c r="E71" s="40">
        <f t="shared" si="19"/>
        <v>94.900000000000091</v>
      </c>
      <c r="F71" s="35">
        <f t="shared" si="14"/>
        <v>1525</v>
      </c>
      <c r="G71" s="35">
        <f t="shared" si="15"/>
        <v>32</v>
      </c>
      <c r="H71" s="32">
        <f t="shared" si="16"/>
        <v>1557</v>
      </c>
      <c r="I71" s="38" t="s">
        <v>45</v>
      </c>
      <c r="J71" s="30" t="s">
        <v>22</v>
      </c>
      <c r="K71" s="96">
        <v>13</v>
      </c>
      <c r="L71" s="31">
        <v>22.3</v>
      </c>
      <c r="M71" s="31">
        <v>28.2</v>
      </c>
      <c r="N71" s="31">
        <f t="shared" si="20"/>
        <v>5.8999999999999986</v>
      </c>
      <c r="O71" s="35">
        <f t="shared" si="17"/>
        <v>206</v>
      </c>
      <c r="P71" s="36">
        <f>O58</f>
        <v>84</v>
      </c>
      <c r="Q71" s="37">
        <f t="shared" si="18"/>
        <v>290</v>
      </c>
      <c r="R71" s="38" t="s">
        <v>45</v>
      </c>
    </row>
    <row r="72" spans="1:19" x14ac:dyDescent="0.3">
      <c r="A72" s="39" t="s">
        <v>23</v>
      </c>
      <c r="B72" s="97">
        <v>14</v>
      </c>
      <c r="C72" s="31">
        <v>5038.8999999999996</v>
      </c>
      <c r="D72" s="31">
        <v>5116.1000000000004</v>
      </c>
      <c r="E72" s="40">
        <f t="shared" si="19"/>
        <v>77.200000000000728</v>
      </c>
      <c r="F72" s="35">
        <f t="shared" si="14"/>
        <v>1240</v>
      </c>
      <c r="G72" s="35">
        <f t="shared" si="15"/>
        <v>32</v>
      </c>
      <c r="H72" s="32">
        <f t="shared" si="16"/>
        <v>1272</v>
      </c>
      <c r="I72" s="38" t="s">
        <v>45</v>
      </c>
      <c r="J72" s="39" t="s">
        <v>23</v>
      </c>
      <c r="K72" s="96">
        <v>14</v>
      </c>
      <c r="L72" s="31">
        <v>8.3000000000000007</v>
      </c>
      <c r="M72" s="31">
        <v>10.6</v>
      </c>
      <c r="N72" s="31">
        <f t="shared" si="20"/>
        <v>2.2999999999999989</v>
      </c>
      <c r="O72" s="35">
        <f t="shared" si="17"/>
        <v>80</v>
      </c>
      <c r="P72" s="36">
        <f>O58</f>
        <v>84</v>
      </c>
      <c r="Q72" s="37">
        <f t="shared" si="18"/>
        <v>164</v>
      </c>
      <c r="R72" s="38" t="s">
        <v>45</v>
      </c>
    </row>
    <row r="73" spans="1:19" x14ac:dyDescent="0.3">
      <c r="A73" s="39" t="s">
        <v>24</v>
      </c>
      <c r="B73" s="97">
        <v>15</v>
      </c>
      <c r="C73" s="40">
        <v>26</v>
      </c>
      <c r="D73" s="31">
        <v>71.599999999999994</v>
      </c>
      <c r="E73" s="40">
        <f t="shared" si="19"/>
        <v>45.599999999999994</v>
      </c>
      <c r="F73" s="35">
        <f t="shared" si="14"/>
        <v>733</v>
      </c>
      <c r="G73" s="35">
        <f t="shared" si="15"/>
        <v>32</v>
      </c>
      <c r="H73" s="32">
        <f t="shared" si="16"/>
        <v>765</v>
      </c>
      <c r="I73" s="38" t="s">
        <v>45</v>
      </c>
      <c r="J73" s="30" t="s">
        <v>24</v>
      </c>
      <c r="K73" s="97">
        <v>15</v>
      </c>
      <c r="L73" s="40">
        <v>359.9</v>
      </c>
      <c r="M73" s="31">
        <v>368.9</v>
      </c>
      <c r="N73" s="40">
        <f t="shared" si="20"/>
        <v>9</v>
      </c>
      <c r="O73" s="35">
        <f t="shared" si="17"/>
        <v>313</v>
      </c>
      <c r="P73" s="36">
        <f>O58</f>
        <v>84</v>
      </c>
      <c r="Q73" s="37">
        <f t="shared" si="18"/>
        <v>397</v>
      </c>
      <c r="R73" s="38" t="s">
        <v>45</v>
      </c>
    </row>
    <row r="74" spans="1:19" x14ac:dyDescent="0.3">
      <c r="A74" s="39" t="s">
        <v>25</v>
      </c>
      <c r="B74" s="96">
        <v>16</v>
      </c>
      <c r="C74" s="31">
        <v>155.4</v>
      </c>
      <c r="D74" s="31">
        <v>161.30000000000001</v>
      </c>
      <c r="E74" s="31">
        <f t="shared" ref="E74:E75" si="21">D74-C74</f>
        <v>5.9000000000000057</v>
      </c>
      <c r="F74" s="35">
        <f t="shared" si="14"/>
        <v>95</v>
      </c>
      <c r="G74" s="35">
        <f t="shared" si="15"/>
        <v>32</v>
      </c>
      <c r="H74" s="32">
        <f t="shared" si="16"/>
        <v>127</v>
      </c>
      <c r="I74" s="38" t="s">
        <v>45</v>
      </c>
      <c r="J74" s="30" t="s">
        <v>40</v>
      </c>
      <c r="K74" s="96">
        <v>16</v>
      </c>
      <c r="L74" s="31">
        <v>45.8</v>
      </c>
      <c r="M74" s="31">
        <v>48.8</v>
      </c>
      <c r="N74" s="31">
        <f t="shared" si="20"/>
        <v>3</v>
      </c>
      <c r="O74" s="35">
        <f t="shared" si="17"/>
        <v>105</v>
      </c>
      <c r="P74" s="36">
        <f>O58</f>
        <v>84</v>
      </c>
      <c r="Q74" s="37">
        <f t="shared" si="18"/>
        <v>189</v>
      </c>
      <c r="R74" s="38" t="s">
        <v>45</v>
      </c>
    </row>
    <row r="75" spans="1:19" x14ac:dyDescent="0.3">
      <c r="A75" s="72" t="s">
        <v>2</v>
      </c>
      <c r="B75" s="73"/>
      <c r="C75" s="31">
        <v>9984.9</v>
      </c>
      <c r="D75" s="31">
        <v>10317.4</v>
      </c>
      <c r="E75" s="31">
        <f t="shared" si="21"/>
        <v>332.5</v>
      </c>
      <c r="F75" s="35">
        <f t="shared" si="14"/>
        <v>5340</v>
      </c>
      <c r="G75" s="35">
        <f t="shared" si="15"/>
        <v>32</v>
      </c>
      <c r="H75" s="32">
        <f t="shared" si="16"/>
        <v>5372</v>
      </c>
      <c r="I75" s="38" t="s">
        <v>45</v>
      </c>
      <c r="J75" s="72" t="s">
        <v>2</v>
      </c>
      <c r="K75" s="73"/>
      <c r="L75" s="31">
        <v>573.29999999999995</v>
      </c>
      <c r="M75" s="31">
        <v>591.1</v>
      </c>
      <c r="N75" s="31">
        <f t="shared" si="20"/>
        <v>17.800000000000068</v>
      </c>
      <c r="O75" s="35">
        <f t="shared" si="17"/>
        <v>619</v>
      </c>
      <c r="P75" s="36">
        <f>O58</f>
        <v>84</v>
      </c>
      <c r="Q75" s="37">
        <f t="shared" si="18"/>
        <v>703</v>
      </c>
      <c r="R75" s="38" t="s">
        <v>45</v>
      </c>
    </row>
    <row r="76" spans="1:19" ht="15" thickBot="1" x14ac:dyDescent="0.35">
      <c r="A76" s="85" t="s">
        <v>28</v>
      </c>
      <c r="B76" s="86"/>
      <c r="C76" s="86"/>
      <c r="D76" s="87"/>
      <c r="E76" s="58">
        <f>SUM(E60:E75)</f>
        <v>1752.8000000000002</v>
      </c>
      <c r="F76" s="53">
        <f>SUM(F60:F75)</f>
        <v>28160</v>
      </c>
      <c r="G76" s="53">
        <f>SUM(G60:G75)</f>
        <v>512</v>
      </c>
      <c r="H76" s="53">
        <f>SUM(H60:H75)</f>
        <v>28672</v>
      </c>
      <c r="I76" s="59"/>
      <c r="J76" s="88" t="s">
        <v>28</v>
      </c>
      <c r="K76" s="89"/>
      <c r="L76" s="89"/>
      <c r="M76" s="89"/>
      <c r="N76" s="54">
        <f>SUM(N60:N75)</f>
        <v>127.33000000000011</v>
      </c>
      <c r="O76" s="55">
        <f>SUM(O60:O75)</f>
        <v>5005</v>
      </c>
      <c r="P76" s="56">
        <f>SUM(P60:P75)</f>
        <v>1344</v>
      </c>
      <c r="Q76" s="56">
        <f>SUM(Q60:Q75)</f>
        <v>6349</v>
      </c>
      <c r="R76" s="60"/>
    </row>
    <row r="77" spans="1:19" ht="15" thickBo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61"/>
      <c r="L77" s="62"/>
      <c r="M77" s="63"/>
      <c r="N77" s="63"/>
      <c r="O77" s="63"/>
      <c r="P77" s="63"/>
      <c r="Q77" s="63"/>
      <c r="R77" s="61"/>
      <c r="S77" s="6"/>
    </row>
    <row r="78" spans="1:19" ht="15" thickBot="1" x14ac:dyDescent="0.35">
      <c r="A78" s="66" t="s">
        <v>44</v>
      </c>
      <c r="B78" s="67"/>
      <c r="C78" s="67"/>
      <c r="D78" s="67"/>
      <c r="E78" s="67"/>
      <c r="F78" s="67"/>
      <c r="G78" s="67"/>
      <c r="H78" s="67"/>
      <c r="I78" s="68"/>
      <c r="J78" s="66" t="s">
        <v>44</v>
      </c>
      <c r="K78" s="67"/>
      <c r="L78" s="67"/>
      <c r="M78" s="67"/>
      <c r="N78" s="67"/>
      <c r="O78" s="67"/>
      <c r="P78" s="67"/>
      <c r="Q78" s="67"/>
      <c r="R78" s="68"/>
      <c r="S78" s="6"/>
    </row>
    <row r="79" spans="1:19" ht="15" thickBot="1" x14ac:dyDescent="0.35">
      <c r="A79" s="69" t="s">
        <v>6</v>
      </c>
      <c r="B79" s="70"/>
      <c r="C79" s="70"/>
      <c r="D79" s="70"/>
      <c r="E79" s="70"/>
      <c r="F79" s="70"/>
      <c r="G79" s="70"/>
      <c r="H79" s="70"/>
      <c r="I79" s="71"/>
      <c r="J79" s="82" t="s">
        <v>7</v>
      </c>
      <c r="K79" s="83"/>
      <c r="L79" s="83"/>
      <c r="M79" s="83"/>
      <c r="N79" s="83"/>
      <c r="O79" s="83"/>
      <c r="P79" s="83"/>
      <c r="Q79" s="83"/>
      <c r="R79" s="84"/>
      <c r="S79" s="6"/>
    </row>
    <row r="80" spans="1:19" ht="15" thickBot="1" x14ac:dyDescent="0.35">
      <c r="A80" s="11" t="s">
        <v>30</v>
      </c>
      <c r="B80" s="12"/>
      <c r="C80" s="13">
        <v>16.02</v>
      </c>
      <c r="D80" s="14"/>
      <c r="E80" s="11" t="s">
        <v>26</v>
      </c>
      <c r="F80" s="13">
        <v>28126.26</v>
      </c>
      <c r="G80" s="14"/>
      <c r="H80" s="15" t="s">
        <v>33</v>
      </c>
      <c r="I80" s="16"/>
      <c r="J80" s="11" t="s">
        <v>39</v>
      </c>
      <c r="K80" s="12"/>
      <c r="L80" s="13">
        <v>37.770000000000003</v>
      </c>
      <c r="M80" s="14"/>
      <c r="N80" s="11" t="s">
        <v>26</v>
      </c>
      <c r="O80" s="13">
        <v>6270.46</v>
      </c>
      <c r="P80" s="14"/>
      <c r="Q80" s="15" t="s">
        <v>33</v>
      </c>
      <c r="R80" s="16"/>
      <c r="S80" s="6"/>
    </row>
    <row r="81" spans="1:19" ht="15" thickBot="1" x14ac:dyDescent="0.35">
      <c r="A81" s="17" t="s">
        <v>35</v>
      </c>
      <c r="B81" s="18"/>
      <c r="C81" s="19">
        <v>1785</v>
      </c>
      <c r="D81" s="14"/>
      <c r="E81" s="17" t="s">
        <v>34</v>
      </c>
      <c r="F81" s="19">
        <f>F80-F100</f>
        <v>99.259999999998399</v>
      </c>
      <c r="G81" s="14"/>
      <c r="H81" s="20" t="s">
        <v>51</v>
      </c>
      <c r="I81" s="16"/>
      <c r="J81" s="17" t="s">
        <v>35</v>
      </c>
      <c r="K81" s="18"/>
      <c r="L81" s="19">
        <v>0</v>
      </c>
      <c r="M81" s="14"/>
      <c r="N81" s="17" t="s">
        <v>34</v>
      </c>
      <c r="O81" s="19">
        <f>ROUNDUP(O80-O100, 0)</f>
        <v>1676</v>
      </c>
      <c r="P81" s="14"/>
      <c r="Q81" s="20" t="s">
        <v>52</v>
      </c>
      <c r="R81" s="16"/>
      <c r="S81" s="6"/>
    </row>
    <row r="82" spans="1:19" ht="15" thickBot="1" x14ac:dyDescent="0.35">
      <c r="A82" s="17" t="s">
        <v>32</v>
      </c>
      <c r="B82" s="18"/>
      <c r="C82" s="19">
        <v>0</v>
      </c>
      <c r="D82" s="21"/>
      <c r="E82" s="17" t="s">
        <v>27</v>
      </c>
      <c r="F82" s="19">
        <f>F81/16</f>
        <v>6.2037499999999</v>
      </c>
      <c r="G82" s="14"/>
      <c r="H82" s="14"/>
      <c r="I82" s="16"/>
      <c r="J82" s="17" t="s">
        <v>32</v>
      </c>
      <c r="K82" s="18"/>
      <c r="L82" s="19">
        <v>0</v>
      </c>
      <c r="M82" s="21"/>
      <c r="N82" s="17" t="s">
        <v>27</v>
      </c>
      <c r="O82" s="19">
        <f>ROUNDUP(O81/16, 0)</f>
        <v>105</v>
      </c>
      <c r="P82" s="14"/>
      <c r="Q82" s="14"/>
      <c r="R82" s="16"/>
      <c r="S82" s="6"/>
    </row>
    <row r="83" spans="1:19" ht="28.8" x14ac:dyDescent="0.3">
      <c r="A83" s="22" t="s">
        <v>3</v>
      </c>
      <c r="B83" s="23" t="s">
        <v>8</v>
      </c>
      <c r="C83" s="23" t="s">
        <v>0</v>
      </c>
      <c r="D83" s="24" t="s">
        <v>1</v>
      </c>
      <c r="E83" s="23" t="s">
        <v>9</v>
      </c>
      <c r="F83" s="23" t="s">
        <v>10</v>
      </c>
      <c r="G83" s="24" t="s">
        <v>41</v>
      </c>
      <c r="H83" s="24" t="s">
        <v>29</v>
      </c>
      <c r="I83" s="25" t="s">
        <v>36</v>
      </c>
      <c r="J83" s="26" t="s">
        <v>3</v>
      </c>
      <c r="K83" s="27" t="s">
        <v>8</v>
      </c>
      <c r="L83" s="27" t="s">
        <v>0</v>
      </c>
      <c r="M83" s="28" t="s">
        <v>1</v>
      </c>
      <c r="N83" s="27" t="s">
        <v>38</v>
      </c>
      <c r="O83" s="27" t="s">
        <v>10</v>
      </c>
      <c r="P83" s="28" t="s">
        <v>41</v>
      </c>
      <c r="Q83" s="28" t="s">
        <v>29</v>
      </c>
      <c r="R83" s="29" t="s">
        <v>36</v>
      </c>
      <c r="S83" s="6"/>
    </row>
    <row r="84" spans="1:19" x14ac:dyDescent="0.3">
      <c r="A84" s="30" t="s">
        <v>11</v>
      </c>
      <c r="B84" s="96">
        <v>1</v>
      </c>
      <c r="C84" s="64">
        <v>2944.7</v>
      </c>
      <c r="D84" s="64">
        <v>3014.7</v>
      </c>
      <c r="E84" s="64">
        <f>D84-C84</f>
        <v>70</v>
      </c>
      <c r="F84" s="35">
        <f>ROUNDUP(E84*$C$80, 0)</f>
        <v>1122</v>
      </c>
      <c r="G84" s="35">
        <f>ROUNDUP($F$82, 0)</f>
        <v>7</v>
      </c>
      <c r="H84" s="32">
        <f>F84+G84</f>
        <v>1129</v>
      </c>
      <c r="I84" s="38" t="s">
        <v>45</v>
      </c>
      <c r="J84" s="30" t="s">
        <v>11</v>
      </c>
      <c r="K84" s="96">
        <v>1</v>
      </c>
      <c r="L84" s="64">
        <v>440.6</v>
      </c>
      <c r="M84" s="64">
        <v>450.4</v>
      </c>
      <c r="N84" s="64">
        <f>M84-L84</f>
        <v>9.7999999999999545</v>
      </c>
      <c r="O84" s="35">
        <f>ROUNDUP(N84*$L$80, 0)</f>
        <v>371</v>
      </c>
      <c r="P84" s="36">
        <f>O82</f>
        <v>105</v>
      </c>
      <c r="Q84" s="37">
        <f>O84+P84</f>
        <v>476</v>
      </c>
      <c r="R84" s="38" t="s">
        <v>45</v>
      </c>
      <c r="S84" s="6"/>
    </row>
    <row r="85" spans="1:19" x14ac:dyDescent="0.3">
      <c r="A85" s="30" t="s">
        <v>12</v>
      </c>
      <c r="B85" s="96">
        <v>2</v>
      </c>
      <c r="C85" s="64">
        <v>1007</v>
      </c>
      <c r="D85" s="64">
        <v>1051.9000000000001</v>
      </c>
      <c r="E85" s="64">
        <f>D85-C85</f>
        <v>44.900000000000091</v>
      </c>
      <c r="F85" s="35">
        <f t="shared" ref="F85:F99" si="22">ROUNDUP(E85*$C$56, 0)</f>
        <v>722</v>
      </c>
      <c r="G85" s="35">
        <f t="shared" ref="G85:G99" si="23">ROUNDUP($F$82, 0)</f>
        <v>7</v>
      </c>
      <c r="H85" s="32">
        <f t="shared" ref="H85:H99" si="24">F85+G85</f>
        <v>729</v>
      </c>
      <c r="I85" s="38" t="s">
        <v>45</v>
      </c>
      <c r="J85" s="30" t="s">
        <v>12</v>
      </c>
      <c r="K85" s="96">
        <v>2</v>
      </c>
      <c r="L85" s="64">
        <v>11.7</v>
      </c>
      <c r="M85" s="64">
        <v>15.3</v>
      </c>
      <c r="N85" s="64">
        <f>M85-L85</f>
        <v>3.6000000000000014</v>
      </c>
      <c r="O85" s="35">
        <f t="shared" ref="O85:O99" si="25">ROUNDUP(N85*$L$80, 0)</f>
        <v>136</v>
      </c>
      <c r="P85" s="36">
        <f>O82</f>
        <v>105</v>
      </c>
      <c r="Q85" s="37">
        <f t="shared" ref="Q85:Q102" si="26">O85+P85</f>
        <v>241</v>
      </c>
      <c r="R85" s="38" t="s">
        <v>45</v>
      </c>
      <c r="S85" s="6"/>
    </row>
    <row r="86" spans="1:19" x14ac:dyDescent="0.3">
      <c r="A86" s="30" t="s">
        <v>13</v>
      </c>
      <c r="B86" s="96">
        <v>3</v>
      </c>
      <c r="C86" s="64">
        <v>6680.9</v>
      </c>
      <c r="D86" s="64">
        <v>6836.1</v>
      </c>
      <c r="E86" s="64">
        <f t="shared" ref="E86:E100" si="27">D86-C86</f>
        <v>155.20000000000073</v>
      </c>
      <c r="F86" s="35">
        <f t="shared" si="22"/>
        <v>2493</v>
      </c>
      <c r="G86" s="35">
        <f t="shared" si="23"/>
        <v>7</v>
      </c>
      <c r="H86" s="32">
        <f t="shared" si="24"/>
        <v>2500</v>
      </c>
      <c r="I86" s="38" t="s">
        <v>45</v>
      </c>
      <c r="J86" s="30" t="s">
        <v>13</v>
      </c>
      <c r="K86" s="96">
        <v>3</v>
      </c>
      <c r="L86" s="64">
        <v>369.7</v>
      </c>
      <c r="M86" s="64">
        <v>377.7</v>
      </c>
      <c r="N86" s="64">
        <f t="shared" ref="N86:N90" si="28">M86-L86</f>
        <v>8</v>
      </c>
      <c r="O86" s="35">
        <f t="shared" si="25"/>
        <v>303</v>
      </c>
      <c r="P86" s="36">
        <f>O82</f>
        <v>105</v>
      </c>
      <c r="Q86" s="37">
        <f t="shared" si="26"/>
        <v>408</v>
      </c>
      <c r="R86" s="38" t="s">
        <v>45</v>
      </c>
      <c r="S86" s="6"/>
    </row>
    <row r="87" spans="1:19" x14ac:dyDescent="0.3">
      <c r="A87" s="30" t="s">
        <v>14</v>
      </c>
      <c r="B87" s="96">
        <v>4</v>
      </c>
      <c r="C87" s="64">
        <v>2841.1</v>
      </c>
      <c r="D87" s="64">
        <v>2902.4</v>
      </c>
      <c r="E87" s="64">
        <f t="shared" si="27"/>
        <v>61.300000000000182</v>
      </c>
      <c r="F87" s="35">
        <f t="shared" si="22"/>
        <v>985</v>
      </c>
      <c r="G87" s="35">
        <f t="shared" si="23"/>
        <v>7</v>
      </c>
      <c r="H87" s="32">
        <f t="shared" si="24"/>
        <v>992</v>
      </c>
      <c r="I87" s="38" t="s">
        <v>45</v>
      </c>
      <c r="J87" s="30" t="s">
        <v>14</v>
      </c>
      <c r="K87" s="96">
        <v>4</v>
      </c>
      <c r="L87" s="64">
        <v>181.8</v>
      </c>
      <c r="M87" s="64">
        <v>186.1</v>
      </c>
      <c r="N87" s="64">
        <f t="shared" si="28"/>
        <v>4.2999999999999829</v>
      </c>
      <c r="O87" s="35">
        <f t="shared" si="25"/>
        <v>163</v>
      </c>
      <c r="P87" s="36">
        <f>O82</f>
        <v>105</v>
      </c>
      <c r="Q87" s="37">
        <f t="shared" si="26"/>
        <v>268</v>
      </c>
      <c r="R87" s="38" t="s">
        <v>45</v>
      </c>
      <c r="S87" s="6"/>
    </row>
    <row r="88" spans="1:19" x14ac:dyDescent="0.3">
      <c r="A88" s="30" t="s">
        <v>15</v>
      </c>
      <c r="B88" s="96">
        <v>5</v>
      </c>
      <c r="C88" s="64">
        <v>4281.8</v>
      </c>
      <c r="D88" s="64">
        <v>4418.6000000000004</v>
      </c>
      <c r="E88" s="64">
        <f t="shared" si="27"/>
        <v>136.80000000000018</v>
      </c>
      <c r="F88" s="35">
        <f t="shared" si="22"/>
        <v>2198</v>
      </c>
      <c r="G88" s="35">
        <f t="shared" si="23"/>
        <v>7</v>
      </c>
      <c r="H88" s="32">
        <f t="shared" si="24"/>
        <v>2205</v>
      </c>
      <c r="I88" s="38" t="s">
        <v>45</v>
      </c>
      <c r="J88" s="30" t="s">
        <v>15</v>
      </c>
      <c r="K88" s="96">
        <v>5</v>
      </c>
      <c r="L88" s="64">
        <v>215.5</v>
      </c>
      <c r="M88" s="64">
        <v>221.5</v>
      </c>
      <c r="N88" s="64">
        <f t="shared" si="28"/>
        <v>6</v>
      </c>
      <c r="O88" s="35">
        <f t="shared" si="25"/>
        <v>227</v>
      </c>
      <c r="P88" s="36">
        <f>O82</f>
        <v>105</v>
      </c>
      <c r="Q88" s="37">
        <f t="shared" si="26"/>
        <v>332</v>
      </c>
      <c r="R88" s="38" t="s">
        <v>45</v>
      </c>
      <c r="S88" s="6"/>
    </row>
    <row r="89" spans="1:19" x14ac:dyDescent="0.3">
      <c r="A89" s="39" t="s">
        <v>16</v>
      </c>
      <c r="B89" s="97" t="s">
        <v>5</v>
      </c>
      <c r="C89" s="64">
        <v>223.1</v>
      </c>
      <c r="D89" s="64">
        <v>347.6</v>
      </c>
      <c r="E89" s="40">
        <f t="shared" si="27"/>
        <v>124.50000000000003</v>
      </c>
      <c r="F89" s="35">
        <f t="shared" si="22"/>
        <v>2000</v>
      </c>
      <c r="G89" s="35">
        <f t="shared" si="23"/>
        <v>7</v>
      </c>
      <c r="H89" s="32">
        <f t="shared" si="24"/>
        <v>2007</v>
      </c>
      <c r="I89" s="38" t="s">
        <v>45</v>
      </c>
      <c r="J89" s="39" t="s">
        <v>16</v>
      </c>
      <c r="K89" s="97" t="s">
        <v>5</v>
      </c>
      <c r="L89" s="64">
        <v>201.5</v>
      </c>
      <c r="M89" s="64">
        <v>219</v>
      </c>
      <c r="N89" s="40">
        <f t="shared" si="28"/>
        <v>17.5</v>
      </c>
      <c r="O89" s="35">
        <f t="shared" si="25"/>
        <v>661</v>
      </c>
      <c r="P89" s="41">
        <f>O82</f>
        <v>105</v>
      </c>
      <c r="Q89" s="37">
        <f t="shared" si="26"/>
        <v>766</v>
      </c>
      <c r="R89" s="38" t="s">
        <v>45</v>
      </c>
      <c r="S89" s="6"/>
    </row>
    <row r="90" spans="1:19" x14ac:dyDescent="0.3">
      <c r="A90" s="39" t="s">
        <v>17</v>
      </c>
      <c r="B90" s="97">
        <v>8</v>
      </c>
      <c r="C90" s="64">
        <v>1521</v>
      </c>
      <c r="D90" s="64">
        <v>1584.5</v>
      </c>
      <c r="E90" s="40">
        <f t="shared" si="27"/>
        <v>63.5</v>
      </c>
      <c r="F90" s="35">
        <f t="shared" si="22"/>
        <v>1020</v>
      </c>
      <c r="G90" s="35">
        <f t="shared" si="23"/>
        <v>7</v>
      </c>
      <c r="H90" s="32">
        <f t="shared" si="24"/>
        <v>1027</v>
      </c>
      <c r="I90" s="38" t="s">
        <v>45</v>
      </c>
      <c r="J90" s="30" t="s">
        <v>17</v>
      </c>
      <c r="K90" s="96">
        <v>8</v>
      </c>
      <c r="L90" s="64">
        <v>268.8</v>
      </c>
      <c r="M90" s="64">
        <v>293.39999999999998</v>
      </c>
      <c r="N90" s="40">
        <f t="shared" si="28"/>
        <v>24.599999999999966</v>
      </c>
      <c r="O90" s="98">
        <v>319</v>
      </c>
      <c r="P90" s="36">
        <f>O82</f>
        <v>105</v>
      </c>
      <c r="Q90" s="37">
        <f>O90+P90</f>
        <v>424</v>
      </c>
      <c r="R90" s="38" t="s">
        <v>45</v>
      </c>
      <c r="S90" s="6"/>
    </row>
    <row r="91" spans="1:19" x14ac:dyDescent="0.3">
      <c r="A91" s="39" t="s">
        <v>18</v>
      </c>
      <c r="B91" s="97">
        <v>9</v>
      </c>
      <c r="C91" s="64">
        <v>2480.1999999999998</v>
      </c>
      <c r="D91" s="64">
        <v>2563.1999999999998</v>
      </c>
      <c r="E91" s="40">
        <f t="shared" si="27"/>
        <v>83</v>
      </c>
      <c r="F91" s="35">
        <f t="shared" si="22"/>
        <v>1333</v>
      </c>
      <c r="G91" s="35">
        <f t="shared" si="23"/>
        <v>7</v>
      </c>
      <c r="H91" s="32">
        <f t="shared" si="24"/>
        <v>1340</v>
      </c>
      <c r="I91" s="38" t="s">
        <v>45</v>
      </c>
      <c r="J91" s="30" t="s">
        <v>18</v>
      </c>
      <c r="K91" s="96">
        <v>9</v>
      </c>
      <c r="L91" s="64">
        <v>264.8</v>
      </c>
      <c r="M91" s="64">
        <v>268.39999999999998</v>
      </c>
      <c r="N91" s="64">
        <f t="shared" ref="N91:N99" si="29">M91-L91</f>
        <v>3.5999999999999659</v>
      </c>
      <c r="O91" s="35">
        <f t="shared" si="25"/>
        <v>136</v>
      </c>
      <c r="P91" s="36">
        <f>O82</f>
        <v>105</v>
      </c>
      <c r="Q91" s="37">
        <f t="shared" ref="Q91:Q102" si="30">O91+P91</f>
        <v>241</v>
      </c>
      <c r="R91" s="38" t="s">
        <v>45</v>
      </c>
      <c r="S91" s="6"/>
    </row>
    <row r="92" spans="1:19" x14ac:dyDescent="0.3">
      <c r="A92" s="39" t="s">
        <v>19</v>
      </c>
      <c r="B92" s="97">
        <v>10</v>
      </c>
      <c r="C92" s="64">
        <v>2993.9</v>
      </c>
      <c r="D92" s="64">
        <v>3102.4</v>
      </c>
      <c r="E92" s="40">
        <f t="shared" si="27"/>
        <v>108.5</v>
      </c>
      <c r="F92" s="35">
        <f t="shared" si="22"/>
        <v>1743</v>
      </c>
      <c r="G92" s="35">
        <f t="shared" si="23"/>
        <v>7</v>
      </c>
      <c r="H92" s="32">
        <f t="shared" si="24"/>
        <v>1750</v>
      </c>
      <c r="I92" s="38" t="s">
        <v>45</v>
      </c>
      <c r="J92" s="30" t="s">
        <v>19</v>
      </c>
      <c r="K92" s="96">
        <v>10</v>
      </c>
      <c r="L92" s="64">
        <v>68.8</v>
      </c>
      <c r="M92" s="64">
        <v>72.400000000000006</v>
      </c>
      <c r="N92" s="64">
        <f t="shared" si="29"/>
        <v>3.6000000000000085</v>
      </c>
      <c r="O92" s="35">
        <f t="shared" si="25"/>
        <v>136</v>
      </c>
      <c r="P92" s="36">
        <f>O82</f>
        <v>105</v>
      </c>
      <c r="Q92" s="37">
        <f t="shared" si="30"/>
        <v>241</v>
      </c>
      <c r="R92" s="38" t="s">
        <v>45</v>
      </c>
      <c r="S92" s="6"/>
    </row>
    <row r="93" spans="1:19" x14ac:dyDescent="0.3">
      <c r="A93" s="39" t="s">
        <v>20</v>
      </c>
      <c r="B93" s="97">
        <v>11</v>
      </c>
      <c r="C93" s="64">
        <v>1253.3</v>
      </c>
      <c r="D93" s="64">
        <v>1362.3</v>
      </c>
      <c r="E93" s="40">
        <f t="shared" si="27"/>
        <v>109</v>
      </c>
      <c r="F93" s="35">
        <f t="shared" si="22"/>
        <v>1751</v>
      </c>
      <c r="G93" s="35">
        <f t="shared" si="23"/>
        <v>7</v>
      </c>
      <c r="H93" s="32">
        <f t="shared" si="24"/>
        <v>1758</v>
      </c>
      <c r="I93" s="38" t="s">
        <v>45</v>
      </c>
      <c r="J93" s="30" t="s">
        <v>20</v>
      </c>
      <c r="K93" s="96">
        <v>11</v>
      </c>
      <c r="L93" s="64">
        <v>127.5</v>
      </c>
      <c r="M93" s="64">
        <v>130.19999999999999</v>
      </c>
      <c r="N93" s="64">
        <f t="shared" si="29"/>
        <v>2.6999999999999886</v>
      </c>
      <c r="O93" s="35">
        <f t="shared" si="25"/>
        <v>102</v>
      </c>
      <c r="P93" s="36">
        <f>O82</f>
        <v>105</v>
      </c>
      <c r="Q93" s="37">
        <f t="shared" si="30"/>
        <v>207</v>
      </c>
      <c r="R93" s="38" t="s">
        <v>45</v>
      </c>
      <c r="S93" s="6"/>
    </row>
    <row r="94" spans="1:19" x14ac:dyDescent="0.3">
      <c r="A94" s="39" t="s">
        <v>21</v>
      </c>
      <c r="B94" s="97">
        <v>12</v>
      </c>
      <c r="C94" s="64">
        <v>5682.5</v>
      </c>
      <c r="D94" s="64">
        <v>5892.2</v>
      </c>
      <c r="E94" s="40">
        <f t="shared" si="27"/>
        <v>209.69999999999982</v>
      </c>
      <c r="F94" s="35">
        <f t="shared" si="22"/>
        <v>3368</v>
      </c>
      <c r="G94" s="35">
        <f t="shared" si="23"/>
        <v>7</v>
      </c>
      <c r="H94" s="32">
        <f t="shared" si="24"/>
        <v>3375</v>
      </c>
      <c r="I94" s="38" t="s">
        <v>45</v>
      </c>
      <c r="J94" s="30" t="s">
        <v>21</v>
      </c>
      <c r="K94" s="96">
        <v>12</v>
      </c>
      <c r="L94" s="64">
        <v>32.1</v>
      </c>
      <c r="M94" s="64">
        <v>41.6</v>
      </c>
      <c r="N94" s="64">
        <f t="shared" si="29"/>
        <v>9.5</v>
      </c>
      <c r="O94" s="35">
        <f t="shared" si="25"/>
        <v>359</v>
      </c>
      <c r="P94" s="36">
        <f>O82</f>
        <v>105</v>
      </c>
      <c r="Q94" s="37">
        <f t="shared" si="30"/>
        <v>464</v>
      </c>
      <c r="R94" s="38" t="s">
        <v>45</v>
      </c>
      <c r="S94" s="6"/>
    </row>
    <row r="95" spans="1:19" x14ac:dyDescent="0.3">
      <c r="A95" s="39" t="s">
        <v>22</v>
      </c>
      <c r="B95" s="97">
        <v>13</v>
      </c>
      <c r="C95" s="64">
        <v>3544.8</v>
      </c>
      <c r="D95" s="64">
        <v>3608.8</v>
      </c>
      <c r="E95" s="40">
        <f t="shared" si="27"/>
        <v>64</v>
      </c>
      <c r="F95" s="35">
        <f t="shared" si="22"/>
        <v>1028</v>
      </c>
      <c r="G95" s="35">
        <f t="shared" si="23"/>
        <v>7</v>
      </c>
      <c r="H95" s="32">
        <f t="shared" si="24"/>
        <v>1035</v>
      </c>
      <c r="I95" s="38" t="s">
        <v>45</v>
      </c>
      <c r="J95" s="30" t="s">
        <v>22</v>
      </c>
      <c r="K95" s="96">
        <v>13</v>
      </c>
      <c r="L95" s="64">
        <v>28.2</v>
      </c>
      <c r="M95" s="64">
        <v>35.9</v>
      </c>
      <c r="N95" s="64">
        <f t="shared" si="29"/>
        <v>7.6999999999999993</v>
      </c>
      <c r="O95" s="35">
        <f t="shared" si="25"/>
        <v>291</v>
      </c>
      <c r="P95" s="36">
        <f>O82</f>
        <v>105</v>
      </c>
      <c r="Q95" s="37">
        <f t="shared" si="30"/>
        <v>396</v>
      </c>
      <c r="R95" s="38" t="s">
        <v>45</v>
      </c>
      <c r="S95" s="6"/>
    </row>
    <row r="96" spans="1:19" x14ac:dyDescent="0.3">
      <c r="A96" s="39" t="s">
        <v>23</v>
      </c>
      <c r="B96" s="97">
        <v>14</v>
      </c>
      <c r="C96" s="64">
        <v>5116.1000000000004</v>
      </c>
      <c r="D96" s="64">
        <v>5204.6000000000004</v>
      </c>
      <c r="E96" s="40">
        <f t="shared" si="27"/>
        <v>88.5</v>
      </c>
      <c r="F96" s="35">
        <f t="shared" si="22"/>
        <v>1422</v>
      </c>
      <c r="G96" s="35">
        <f t="shared" si="23"/>
        <v>7</v>
      </c>
      <c r="H96" s="32">
        <f t="shared" si="24"/>
        <v>1429</v>
      </c>
      <c r="I96" s="38" t="s">
        <v>45</v>
      </c>
      <c r="J96" s="39" t="s">
        <v>23</v>
      </c>
      <c r="K96" s="96">
        <v>14</v>
      </c>
      <c r="L96" s="64">
        <v>10.6</v>
      </c>
      <c r="M96" s="64">
        <v>12.9</v>
      </c>
      <c r="N96" s="64">
        <f t="shared" si="29"/>
        <v>2.3000000000000007</v>
      </c>
      <c r="O96" s="35">
        <f t="shared" si="25"/>
        <v>87</v>
      </c>
      <c r="P96" s="36">
        <f>O82</f>
        <v>105</v>
      </c>
      <c r="Q96" s="37">
        <f t="shared" si="30"/>
        <v>192</v>
      </c>
      <c r="R96" s="38" t="s">
        <v>45</v>
      </c>
      <c r="S96" s="6"/>
    </row>
    <row r="97" spans="1:19" x14ac:dyDescent="0.3">
      <c r="A97" s="39" t="s">
        <v>24</v>
      </c>
      <c r="B97" s="97">
        <v>15</v>
      </c>
      <c r="C97" s="64">
        <v>71.599999999999994</v>
      </c>
      <c r="D97" s="64">
        <v>125.7</v>
      </c>
      <c r="E97" s="40">
        <f t="shared" si="27"/>
        <v>54.100000000000009</v>
      </c>
      <c r="F97" s="35">
        <f t="shared" si="22"/>
        <v>869</v>
      </c>
      <c r="G97" s="35">
        <f t="shared" si="23"/>
        <v>7</v>
      </c>
      <c r="H97" s="32">
        <f t="shared" si="24"/>
        <v>876</v>
      </c>
      <c r="I97" s="38" t="s">
        <v>45</v>
      </c>
      <c r="J97" s="30" t="s">
        <v>24</v>
      </c>
      <c r="K97" s="97">
        <v>15</v>
      </c>
      <c r="L97" s="64">
        <v>368.9</v>
      </c>
      <c r="M97" s="64">
        <v>380.6</v>
      </c>
      <c r="N97" s="40">
        <f t="shared" si="29"/>
        <v>11.700000000000045</v>
      </c>
      <c r="O97" s="35">
        <f t="shared" si="25"/>
        <v>442</v>
      </c>
      <c r="P97" s="36">
        <f>O82</f>
        <v>105</v>
      </c>
      <c r="Q97" s="37">
        <f t="shared" si="30"/>
        <v>547</v>
      </c>
      <c r="R97" s="38" t="s">
        <v>45</v>
      </c>
      <c r="S97" s="6"/>
    </row>
    <row r="98" spans="1:19" x14ac:dyDescent="0.3">
      <c r="A98" s="39" t="s">
        <v>25</v>
      </c>
      <c r="B98" s="96">
        <v>16</v>
      </c>
      <c r="C98" s="64">
        <v>161.30000000000001</v>
      </c>
      <c r="D98" s="64">
        <v>180.9</v>
      </c>
      <c r="E98" s="64">
        <f t="shared" si="27"/>
        <v>19.599999999999994</v>
      </c>
      <c r="F98" s="35">
        <f t="shared" si="22"/>
        <v>315</v>
      </c>
      <c r="G98" s="35">
        <f t="shared" si="23"/>
        <v>7</v>
      </c>
      <c r="H98" s="32">
        <f t="shared" si="24"/>
        <v>322</v>
      </c>
      <c r="I98" s="38" t="s">
        <v>45</v>
      </c>
      <c r="J98" s="30" t="s">
        <v>40</v>
      </c>
      <c r="K98" s="96">
        <v>16</v>
      </c>
      <c r="L98" s="64">
        <v>48.8</v>
      </c>
      <c r="M98" s="64">
        <v>51.2</v>
      </c>
      <c r="N98" s="64">
        <f t="shared" si="29"/>
        <v>2.4000000000000057</v>
      </c>
      <c r="O98" s="35">
        <f t="shared" si="25"/>
        <v>91</v>
      </c>
      <c r="P98" s="36">
        <f>O82</f>
        <v>105</v>
      </c>
      <c r="Q98" s="37">
        <f t="shared" si="30"/>
        <v>196</v>
      </c>
      <c r="R98" s="38" t="s">
        <v>45</v>
      </c>
      <c r="S98" s="6"/>
    </row>
    <row r="99" spans="1:19" x14ac:dyDescent="0.3">
      <c r="A99" s="72" t="s">
        <v>2</v>
      </c>
      <c r="B99" s="73"/>
      <c r="C99" s="64">
        <v>10317.4</v>
      </c>
      <c r="D99" s="64">
        <v>10669.7</v>
      </c>
      <c r="E99" s="64">
        <f t="shared" si="27"/>
        <v>352.30000000000109</v>
      </c>
      <c r="F99" s="35">
        <f t="shared" si="22"/>
        <v>5658</v>
      </c>
      <c r="G99" s="35">
        <f t="shared" si="23"/>
        <v>7</v>
      </c>
      <c r="H99" s="32">
        <f t="shared" si="24"/>
        <v>5665</v>
      </c>
      <c r="I99" s="38" t="s">
        <v>45</v>
      </c>
      <c r="J99" s="72" t="s">
        <v>2</v>
      </c>
      <c r="K99" s="73"/>
      <c r="L99" s="64">
        <v>591.1</v>
      </c>
      <c r="M99" s="64">
        <v>611.5</v>
      </c>
      <c r="N99" s="64">
        <f t="shared" si="29"/>
        <v>20.399999999999977</v>
      </c>
      <c r="O99" s="35">
        <f t="shared" si="25"/>
        <v>771</v>
      </c>
      <c r="P99" s="36">
        <f>O82</f>
        <v>105</v>
      </c>
      <c r="Q99" s="37">
        <f t="shared" si="30"/>
        <v>876</v>
      </c>
      <c r="R99" s="38" t="s">
        <v>45</v>
      </c>
      <c r="S99" s="6"/>
    </row>
    <row r="100" spans="1:19" ht="15" thickBot="1" x14ac:dyDescent="0.35">
      <c r="A100" s="85" t="s">
        <v>28</v>
      </c>
      <c r="B100" s="86"/>
      <c r="C100" s="86"/>
      <c r="D100" s="87"/>
      <c r="E100" s="58">
        <f>SUM(E84:E99)</f>
        <v>1744.9000000000019</v>
      </c>
      <c r="F100" s="53">
        <f>SUM(F84:F99)</f>
        <v>28027</v>
      </c>
      <c r="G100" s="53">
        <f>SUM(G84:G99)</f>
        <v>112</v>
      </c>
      <c r="H100" s="53">
        <f>SUM(H84:H99)</f>
        <v>28139</v>
      </c>
      <c r="I100" s="59"/>
      <c r="J100" s="88" t="s">
        <v>28</v>
      </c>
      <c r="K100" s="89"/>
      <c r="L100" s="89"/>
      <c r="M100" s="89"/>
      <c r="N100" s="54">
        <f>SUM(N84:N99)</f>
        <v>137.69999999999987</v>
      </c>
      <c r="O100" s="65">
        <f>SUM(O84:O99)</f>
        <v>4595</v>
      </c>
      <c r="P100" s="56">
        <f>SUM(P84:P99)</f>
        <v>1680</v>
      </c>
      <c r="Q100" s="56">
        <f>SUM(Q84:Q99)</f>
        <v>6275</v>
      </c>
      <c r="R100" s="60"/>
      <c r="S100" s="6"/>
    </row>
    <row r="101" spans="1:19" ht="15" thickBo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61"/>
      <c r="L101" s="62"/>
      <c r="M101" s="63"/>
      <c r="N101" s="63"/>
      <c r="O101" s="63"/>
      <c r="P101" s="63"/>
      <c r="Q101" s="63"/>
      <c r="R101" s="61"/>
      <c r="S101" s="6"/>
    </row>
    <row r="102" spans="1:19" ht="15" thickBot="1" x14ac:dyDescent="0.35">
      <c r="A102" s="66" t="s">
        <v>53</v>
      </c>
      <c r="B102" s="67"/>
      <c r="C102" s="67"/>
      <c r="D102" s="67"/>
      <c r="E102" s="67"/>
      <c r="F102" s="67"/>
      <c r="G102" s="67"/>
      <c r="H102" s="67"/>
      <c r="I102" s="68"/>
      <c r="J102" s="66" t="s">
        <v>53</v>
      </c>
      <c r="K102" s="67"/>
      <c r="L102" s="67"/>
      <c r="M102" s="67"/>
      <c r="N102" s="67"/>
      <c r="O102" s="67"/>
      <c r="P102" s="67"/>
      <c r="Q102" s="67"/>
      <c r="R102" s="68"/>
      <c r="S102" s="6"/>
    </row>
    <row r="103" spans="1:19" ht="15" thickBot="1" x14ac:dyDescent="0.35">
      <c r="A103" s="69" t="s">
        <v>6</v>
      </c>
      <c r="B103" s="70"/>
      <c r="C103" s="70"/>
      <c r="D103" s="70"/>
      <c r="E103" s="70"/>
      <c r="F103" s="70"/>
      <c r="G103" s="70"/>
      <c r="H103" s="70"/>
      <c r="I103" s="71"/>
      <c r="J103" s="82" t="s">
        <v>7</v>
      </c>
      <c r="K103" s="83"/>
      <c r="L103" s="83"/>
      <c r="M103" s="83"/>
      <c r="N103" s="83"/>
      <c r="O103" s="83"/>
      <c r="P103" s="83"/>
      <c r="Q103" s="83"/>
      <c r="R103" s="84"/>
      <c r="S103" s="6"/>
    </row>
    <row r="104" spans="1:19" ht="15" thickBot="1" x14ac:dyDescent="0.35">
      <c r="A104" s="11" t="s">
        <v>30</v>
      </c>
      <c r="B104" s="12"/>
      <c r="C104" s="13">
        <v>0</v>
      </c>
      <c r="D104" s="14"/>
      <c r="E104" s="11" t="s">
        <v>26</v>
      </c>
      <c r="F104" s="13">
        <v>0</v>
      </c>
      <c r="G104" s="14"/>
      <c r="H104" s="15" t="s">
        <v>33</v>
      </c>
      <c r="I104" s="16"/>
      <c r="J104" s="11" t="s">
        <v>39</v>
      </c>
      <c r="K104" s="12"/>
      <c r="L104" s="13">
        <v>37.770000000000003</v>
      </c>
      <c r="M104" s="14"/>
      <c r="N104" s="11" t="s">
        <v>26</v>
      </c>
      <c r="O104" s="13">
        <v>6270.46</v>
      </c>
      <c r="P104" s="14"/>
      <c r="Q104" s="15" t="s">
        <v>33</v>
      </c>
      <c r="R104" s="16"/>
      <c r="S104" s="6"/>
    </row>
    <row r="105" spans="1:19" ht="15" thickBot="1" x14ac:dyDescent="0.35">
      <c r="A105" s="17" t="s">
        <v>35</v>
      </c>
      <c r="B105" s="18"/>
      <c r="C105" s="19">
        <v>0</v>
      </c>
      <c r="D105" s="14"/>
      <c r="E105" s="17" t="s">
        <v>34</v>
      </c>
      <c r="F105" s="19">
        <f>F104-F124</f>
        <v>848908</v>
      </c>
      <c r="G105" s="14"/>
      <c r="H105" s="20" t="s">
        <v>51</v>
      </c>
      <c r="I105" s="16"/>
      <c r="J105" s="17" t="s">
        <v>35</v>
      </c>
      <c r="K105" s="18"/>
      <c r="L105" s="19">
        <v>0</v>
      </c>
      <c r="M105" s="14"/>
      <c r="N105" s="17" t="s">
        <v>34</v>
      </c>
      <c r="O105" s="19">
        <f>ROUNDUP(O104-O124, 0)</f>
        <v>133491</v>
      </c>
      <c r="P105" s="14"/>
      <c r="Q105" s="20" t="s">
        <v>52</v>
      </c>
      <c r="R105" s="16"/>
      <c r="S105" s="6"/>
    </row>
    <row r="106" spans="1:19" ht="15" thickBot="1" x14ac:dyDescent="0.35">
      <c r="A106" s="17" t="s">
        <v>32</v>
      </c>
      <c r="B106" s="18"/>
      <c r="C106" s="19">
        <v>0</v>
      </c>
      <c r="D106" s="21"/>
      <c r="E106" s="17" t="s">
        <v>27</v>
      </c>
      <c r="F106" s="19">
        <f>F105/16</f>
        <v>53056.75</v>
      </c>
      <c r="G106" s="14"/>
      <c r="H106" s="14"/>
      <c r="I106" s="16"/>
      <c r="J106" s="17" t="s">
        <v>32</v>
      </c>
      <c r="K106" s="18"/>
      <c r="L106" s="19">
        <v>0</v>
      </c>
      <c r="M106" s="21"/>
      <c r="N106" s="17" t="s">
        <v>27</v>
      </c>
      <c r="O106" s="19">
        <f>ROUNDUP(O105/16, 0)</f>
        <v>8344</v>
      </c>
      <c r="P106" s="14"/>
      <c r="Q106" s="14"/>
      <c r="R106" s="16"/>
      <c r="S106" s="6"/>
    </row>
    <row r="107" spans="1:19" ht="28.8" x14ac:dyDescent="0.3">
      <c r="A107" s="22" t="s">
        <v>3</v>
      </c>
      <c r="B107" s="23" t="s">
        <v>8</v>
      </c>
      <c r="C107" s="23" t="s">
        <v>0</v>
      </c>
      <c r="D107" s="24" t="s">
        <v>1</v>
      </c>
      <c r="E107" s="23" t="s">
        <v>9</v>
      </c>
      <c r="F107" s="23" t="s">
        <v>10</v>
      </c>
      <c r="G107" s="24" t="s">
        <v>41</v>
      </c>
      <c r="H107" s="24" t="s">
        <v>29</v>
      </c>
      <c r="I107" s="25" t="s">
        <v>36</v>
      </c>
      <c r="J107" s="26" t="s">
        <v>3</v>
      </c>
      <c r="K107" s="27" t="s">
        <v>8</v>
      </c>
      <c r="L107" s="27" t="s">
        <v>0</v>
      </c>
      <c r="M107" s="28" t="s">
        <v>1</v>
      </c>
      <c r="N107" s="27" t="s">
        <v>38</v>
      </c>
      <c r="O107" s="27" t="s">
        <v>10</v>
      </c>
      <c r="P107" s="28" t="s">
        <v>41</v>
      </c>
      <c r="Q107" s="28" t="s">
        <v>29</v>
      </c>
      <c r="R107" s="29" t="s">
        <v>36</v>
      </c>
      <c r="S107" s="6"/>
    </row>
    <row r="108" spans="1:19" x14ac:dyDescent="0.3">
      <c r="A108" s="30" t="s">
        <v>11</v>
      </c>
      <c r="B108" s="96">
        <v>1</v>
      </c>
      <c r="C108" s="64">
        <v>3014.7</v>
      </c>
      <c r="D108" s="64"/>
      <c r="E108" s="64">
        <f>D108-C108</f>
        <v>-3014.7</v>
      </c>
      <c r="F108" s="35">
        <f>ROUNDUP(E108*$C$80, 0)</f>
        <v>-48296</v>
      </c>
      <c r="G108" s="35">
        <f>ROUNDUP($F$82, 0)</f>
        <v>7</v>
      </c>
      <c r="H108" s="32">
        <f>F108+G108</f>
        <v>-48289</v>
      </c>
      <c r="I108" s="38" t="s">
        <v>37</v>
      </c>
      <c r="J108" s="30" t="s">
        <v>11</v>
      </c>
      <c r="K108" s="96">
        <v>1</v>
      </c>
      <c r="L108" s="64">
        <v>450.4</v>
      </c>
      <c r="M108" s="64"/>
      <c r="N108" s="64">
        <f>M108-L108</f>
        <v>-450.4</v>
      </c>
      <c r="O108" s="35">
        <f>ROUNDUP(N108*$L$80, 0)</f>
        <v>-17012</v>
      </c>
      <c r="P108" s="36">
        <f>O106</f>
        <v>8344</v>
      </c>
      <c r="Q108" s="37">
        <f>O108+P108</f>
        <v>-8668</v>
      </c>
      <c r="R108" s="38" t="s">
        <v>37</v>
      </c>
      <c r="S108" s="6"/>
    </row>
    <row r="109" spans="1:19" x14ac:dyDescent="0.3">
      <c r="A109" s="30" t="s">
        <v>12</v>
      </c>
      <c r="B109" s="96">
        <v>2</v>
      </c>
      <c r="C109" s="64">
        <v>1051.9000000000001</v>
      </c>
      <c r="D109" s="64"/>
      <c r="E109" s="64">
        <f>D109-C109</f>
        <v>-1051.9000000000001</v>
      </c>
      <c r="F109" s="35">
        <f t="shared" ref="F109:F123" si="31">ROUNDUP(E109*$C$56, 0)</f>
        <v>-16894</v>
      </c>
      <c r="G109" s="35">
        <f t="shared" ref="G109:G123" si="32">ROUNDUP($F$82, 0)</f>
        <v>7</v>
      </c>
      <c r="H109" s="32">
        <f t="shared" ref="H109:H123" si="33">F109+G109</f>
        <v>-16887</v>
      </c>
      <c r="I109" s="38" t="s">
        <v>37</v>
      </c>
      <c r="J109" s="30" t="s">
        <v>12</v>
      </c>
      <c r="K109" s="96">
        <v>2</v>
      </c>
      <c r="L109" s="64">
        <v>15.3</v>
      </c>
      <c r="M109" s="64"/>
      <c r="N109" s="64">
        <f>M109-L109</f>
        <v>-15.3</v>
      </c>
      <c r="O109" s="35">
        <f t="shared" ref="O109:O123" si="34">ROUNDUP(N109*$L$80, 0)</f>
        <v>-578</v>
      </c>
      <c r="P109" s="36">
        <f>O106</f>
        <v>8344</v>
      </c>
      <c r="Q109" s="37">
        <f t="shared" ref="Q109:Q125" si="35">O109+P109</f>
        <v>7766</v>
      </c>
      <c r="R109" s="38" t="s">
        <v>37</v>
      </c>
      <c r="S109" s="6"/>
    </row>
    <row r="110" spans="1:19" x14ac:dyDescent="0.3">
      <c r="A110" s="30" t="s">
        <v>13</v>
      </c>
      <c r="B110" s="96">
        <v>3</v>
      </c>
      <c r="C110" s="64">
        <v>6836.1</v>
      </c>
      <c r="D110" s="64"/>
      <c r="E110" s="64">
        <f t="shared" ref="E110:E124" si="36">D110-C110</f>
        <v>-6836.1</v>
      </c>
      <c r="F110" s="35">
        <f t="shared" si="31"/>
        <v>-109788</v>
      </c>
      <c r="G110" s="35">
        <f t="shared" si="32"/>
        <v>7</v>
      </c>
      <c r="H110" s="32">
        <f t="shared" si="33"/>
        <v>-109781</v>
      </c>
      <c r="I110" s="38" t="s">
        <v>37</v>
      </c>
      <c r="J110" s="30" t="s">
        <v>13</v>
      </c>
      <c r="K110" s="96">
        <v>3</v>
      </c>
      <c r="L110" s="64">
        <v>377.7</v>
      </c>
      <c r="M110" s="64"/>
      <c r="N110" s="64">
        <f>M110-L110</f>
        <v>-377.7</v>
      </c>
      <c r="O110" s="35">
        <f t="shared" si="34"/>
        <v>-14266</v>
      </c>
      <c r="P110" s="36">
        <f>O106</f>
        <v>8344</v>
      </c>
      <c r="Q110" s="37">
        <f t="shared" si="35"/>
        <v>-5922</v>
      </c>
      <c r="R110" s="38" t="s">
        <v>37</v>
      </c>
      <c r="S110" s="6"/>
    </row>
    <row r="111" spans="1:19" x14ac:dyDescent="0.3">
      <c r="A111" s="30" t="s">
        <v>14</v>
      </c>
      <c r="B111" s="96">
        <v>4</v>
      </c>
      <c r="C111" s="64">
        <v>2902.4</v>
      </c>
      <c r="D111" s="64"/>
      <c r="E111" s="64">
        <f t="shared" si="36"/>
        <v>-2902.4</v>
      </c>
      <c r="F111" s="35">
        <f t="shared" si="31"/>
        <v>-46613</v>
      </c>
      <c r="G111" s="35">
        <f t="shared" si="32"/>
        <v>7</v>
      </c>
      <c r="H111" s="32">
        <f t="shared" si="33"/>
        <v>-46606</v>
      </c>
      <c r="I111" s="38" t="s">
        <v>37</v>
      </c>
      <c r="J111" s="30" t="s">
        <v>14</v>
      </c>
      <c r="K111" s="96">
        <v>4</v>
      </c>
      <c r="L111" s="64">
        <v>186.1</v>
      </c>
      <c r="M111" s="64"/>
      <c r="N111" s="64">
        <f>M111-L111</f>
        <v>-186.1</v>
      </c>
      <c r="O111" s="35">
        <f t="shared" si="34"/>
        <v>-7029</v>
      </c>
      <c r="P111" s="36">
        <f>O106</f>
        <v>8344</v>
      </c>
      <c r="Q111" s="37">
        <f t="shared" si="35"/>
        <v>1315</v>
      </c>
      <c r="R111" s="38" t="s">
        <v>37</v>
      </c>
      <c r="S111" s="90"/>
    </row>
    <row r="112" spans="1:19" x14ac:dyDescent="0.3">
      <c r="A112" s="30" t="s">
        <v>15</v>
      </c>
      <c r="B112" s="96">
        <v>5</v>
      </c>
      <c r="C112" s="64">
        <v>4418.6000000000004</v>
      </c>
      <c r="D112" s="64"/>
      <c r="E112" s="64">
        <f t="shared" si="36"/>
        <v>-4418.6000000000004</v>
      </c>
      <c r="F112" s="35">
        <f t="shared" si="31"/>
        <v>-70963</v>
      </c>
      <c r="G112" s="35">
        <f t="shared" si="32"/>
        <v>7</v>
      </c>
      <c r="H112" s="32">
        <f t="shared" si="33"/>
        <v>-70956</v>
      </c>
      <c r="I112" s="38" t="s">
        <v>37</v>
      </c>
      <c r="J112" s="30" t="s">
        <v>15</v>
      </c>
      <c r="K112" s="96">
        <v>5</v>
      </c>
      <c r="L112" s="64">
        <v>221.5</v>
      </c>
      <c r="M112" s="64"/>
      <c r="N112" s="64">
        <f>M112-L112</f>
        <v>-221.5</v>
      </c>
      <c r="O112" s="35">
        <f t="shared" si="34"/>
        <v>-8367</v>
      </c>
      <c r="P112" s="36">
        <f>O106</f>
        <v>8344</v>
      </c>
      <c r="Q112" s="37">
        <f t="shared" si="35"/>
        <v>-23</v>
      </c>
      <c r="R112" s="38" t="s">
        <v>37</v>
      </c>
      <c r="S112" s="90"/>
    </row>
    <row r="113" spans="1:19" x14ac:dyDescent="0.3">
      <c r="A113" s="39" t="s">
        <v>16</v>
      </c>
      <c r="B113" s="97" t="s">
        <v>5</v>
      </c>
      <c r="C113" s="64">
        <v>347.6</v>
      </c>
      <c r="D113" s="64"/>
      <c r="E113" s="40">
        <f t="shared" si="36"/>
        <v>-347.6</v>
      </c>
      <c r="F113" s="35">
        <f t="shared" si="31"/>
        <v>-5583</v>
      </c>
      <c r="G113" s="35">
        <f t="shared" si="32"/>
        <v>7</v>
      </c>
      <c r="H113" s="32">
        <f t="shared" si="33"/>
        <v>-5576</v>
      </c>
      <c r="I113" s="38" t="s">
        <v>37</v>
      </c>
      <c r="J113" s="39" t="s">
        <v>16</v>
      </c>
      <c r="K113" s="97" t="s">
        <v>5</v>
      </c>
      <c r="L113" s="64">
        <v>219</v>
      </c>
      <c r="M113" s="64"/>
      <c r="N113" s="40">
        <f>M113-L113</f>
        <v>-219</v>
      </c>
      <c r="O113" s="35">
        <f t="shared" si="34"/>
        <v>-8272</v>
      </c>
      <c r="P113" s="41">
        <f>O106</f>
        <v>8344</v>
      </c>
      <c r="Q113" s="37">
        <f t="shared" si="35"/>
        <v>72</v>
      </c>
      <c r="R113" s="38" t="s">
        <v>37</v>
      </c>
      <c r="S113" s="90"/>
    </row>
    <row r="114" spans="1:19" x14ac:dyDescent="0.3">
      <c r="A114" s="39" t="s">
        <v>17</v>
      </c>
      <c r="B114" s="97">
        <v>8</v>
      </c>
      <c r="C114" s="64">
        <v>1584.5</v>
      </c>
      <c r="D114" s="64"/>
      <c r="E114" s="40">
        <f t="shared" si="36"/>
        <v>-1584.5</v>
      </c>
      <c r="F114" s="35">
        <f t="shared" si="31"/>
        <v>-25448</v>
      </c>
      <c r="G114" s="35">
        <f t="shared" si="32"/>
        <v>7</v>
      </c>
      <c r="H114" s="32">
        <f t="shared" si="33"/>
        <v>-25441</v>
      </c>
      <c r="I114" s="38" t="s">
        <v>37</v>
      </c>
      <c r="J114" s="30" t="s">
        <v>17</v>
      </c>
      <c r="K114" s="96">
        <v>8</v>
      </c>
      <c r="L114" s="64">
        <v>293.39999999999998</v>
      </c>
      <c r="M114" s="64"/>
      <c r="N114" s="40">
        <f>M114-L114</f>
        <v>-293.39999999999998</v>
      </c>
      <c r="O114" s="35">
        <f t="shared" si="34"/>
        <v>-11082</v>
      </c>
      <c r="P114" s="36">
        <f>O106</f>
        <v>8344</v>
      </c>
      <c r="Q114" s="37">
        <f>O114+P114</f>
        <v>-2738</v>
      </c>
      <c r="R114" s="38" t="s">
        <v>37</v>
      </c>
      <c r="S114" s="90"/>
    </row>
    <row r="115" spans="1:19" x14ac:dyDescent="0.3">
      <c r="A115" s="39" t="s">
        <v>18</v>
      </c>
      <c r="B115" s="97">
        <v>9</v>
      </c>
      <c r="C115" s="64">
        <v>2563.1999999999998</v>
      </c>
      <c r="D115" s="64"/>
      <c r="E115" s="40">
        <f t="shared" si="36"/>
        <v>-2563.1999999999998</v>
      </c>
      <c r="F115" s="35">
        <f t="shared" si="31"/>
        <v>-41165</v>
      </c>
      <c r="G115" s="35">
        <f t="shared" si="32"/>
        <v>7</v>
      </c>
      <c r="H115" s="32">
        <f t="shared" si="33"/>
        <v>-41158</v>
      </c>
      <c r="I115" s="38" t="s">
        <v>37</v>
      </c>
      <c r="J115" s="30" t="s">
        <v>18</v>
      </c>
      <c r="K115" s="96">
        <v>9</v>
      </c>
      <c r="L115" s="64">
        <v>268.39999999999998</v>
      </c>
      <c r="M115" s="64"/>
      <c r="N115" s="64">
        <f>M115-L115</f>
        <v>-268.39999999999998</v>
      </c>
      <c r="O115" s="35">
        <f t="shared" si="34"/>
        <v>-10138</v>
      </c>
      <c r="P115" s="36">
        <f>O106</f>
        <v>8344</v>
      </c>
      <c r="Q115" s="37">
        <f t="shared" ref="Q115:Q125" si="37">O115+P115</f>
        <v>-1794</v>
      </c>
      <c r="R115" s="38" t="s">
        <v>37</v>
      </c>
      <c r="S115" s="90"/>
    </row>
    <row r="116" spans="1:19" x14ac:dyDescent="0.3">
      <c r="A116" s="39" t="s">
        <v>19</v>
      </c>
      <c r="B116" s="97">
        <v>10</v>
      </c>
      <c r="C116" s="64">
        <v>3102.4</v>
      </c>
      <c r="D116" s="64"/>
      <c r="E116" s="40">
        <f t="shared" si="36"/>
        <v>-3102.4</v>
      </c>
      <c r="F116" s="35">
        <f t="shared" si="31"/>
        <v>-49825</v>
      </c>
      <c r="G116" s="35">
        <f t="shared" si="32"/>
        <v>7</v>
      </c>
      <c r="H116" s="32">
        <f t="shared" si="33"/>
        <v>-49818</v>
      </c>
      <c r="I116" s="38" t="s">
        <v>37</v>
      </c>
      <c r="J116" s="30" t="s">
        <v>19</v>
      </c>
      <c r="K116" s="96">
        <v>10</v>
      </c>
      <c r="L116" s="64">
        <v>72.400000000000006</v>
      </c>
      <c r="M116" s="64"/>
      <c r="N116" s="64">
        <f>M116-L116</f>
        <v>-72.400000000000006</v>
      </c>
      <c r="O116" s="35">
        <f t="shared" si="34"/>
        <v>-2735</v>
      </c>
      <c r="P116" s="36">
        <f>O106</f>
        <v>8344</v>
      </c>
      <c r="Q116" s="37">
        <f t="shared" si="37"/>
        <v>5609</v>
      </c>
      <c r="R116" s="38" t="s">
        <v>37</v>
      </c>
      <c r="S116" s="90"/>
    </row>
    <row r="117" spans="1:19" x14ac:dyDescent="0.3">
      <c r="A117" s="39" t="s">
        <v>20</v>
      </c>
      <c r="B117" s="97">
        <v>11</v>
      </c>
      <c r="C117" s="64">
        <v>1362.3</v>
      </c>
      <c r="D117" s="64"/>
      <c r="E117" s="40">
        <f t="shared" si="36"/>
        <v>-1362.3</v>
      </c>
      <c r="F117" s="35">
        <f t="shared" si="31"/>
        <v>-21879</v>
      </c>
      <c r="G117" s="35">
        <f t="shared" si="32"/>
        <v>7</v>
      </c>
      <c r="H117" s="32">
        <f t="shared" si="33"/>
        <v>-21872</v>
      </c>
      <c r="I117" s="38" t="s">
        <v>37</v>
      </c>
      <c r="J117" s="30" t="s">
        <v>20</v>
      </c>
      <c r="K117" s="96">
        <v>11</v>
      </c>
      <c r="L117" s="64">
        <v>130.19999999999999</v>
      </c>
      <c r="M117" s="64"/>
      <c r="N117" s="64">
        <f>M117-L117</f>
        <v>-130.19999999999999</v>
      </c>
      <c r="O117" s="35">
        <f t="shared" si="34"/>
        <v>-4918</v>
      </c>
      <c r="P117" s="36">
        <f>O106</f>
        <v>8344</v>
      </c>
      <c r="Q117" s="37">
        <f t="shared" si="37"/>
        <v>3426</v>
      </c>
      <c r="R117" s="38" t="s">
        <v>37</v>
      </c>
      <c r="S117" s="90"/>
    </row>
    <row r="118" spans="1:19" x14ac:dyDescent="0.3">
      <c r="A118" s="39" t="s">
        <v>21</v>
      </c>
      <c r="B118" s="97">
        <v>12</v>
      </c>
      <c r="C118" s="64">
        <v>5892.2</v>
      </c>
      <c r="D118" s="64"/>
      <c r="E118" s="40">
        <f t="shared" si="36"/>
        <v>-5892.2</v>
      </c>
      <c r="F118" s="35">
        <f t="shared" si="31"/>
        <v>-94629</v>
      </c>
      <c r="G118" s="35">
        <f t="shared" si="32"/>
        <v>7</v>
      </c>
      <c r="H118" s="32">
        <f t="shared" si="33"/>
        <v>-94622</v>
      </c>
      <c r="I118" s="38" t="s">
        <v>37</v>
      </c>
      <c r="J118" s="30" t="s">
        <v>21</v>
      </c>
      <c r="K118" s="96">
        <v>12</v>
      </c>
      <c r="L118" s="64">
        <v>41.6</v>
      </c>
      <c r="M118" s="64"/>
      <c r="N118" s="64">
        <f>M118-L118</f>
        <v>-41.6</v>
      </c>
      <c r="O118" s="35">
        <f t="shared" si="34"/>
        <v>-1572</v>
      </c>
      <c r="P118" s="36">
        <f>O106</f>
        <v>8344</v>
      </c>
      <c r="Q118" s="37">
        <f t="shared" si="37"/>
        <v>6772</v>
      </c>
      <c r="R118" s="38" t="s">
        <v>37</v>
      </c>
      <c r="S118" s="90"/>
    </row>
    <row r="119" spans="1:19" x14ac:dyDescent="0.3">
      <c r="A119" s="39" t="s">
        <v>22</v>
      </c>
      <c r="B119" s="97">
        <v>13</v>
      </c>
      <c r="C119" s="64">
        <v>3608.8</v>
      </c>
      <c r="D119" s="64"/>
      <c r="E119" s="40">
        <f t="shared" si="36"/>
        <v>-3608.8</v>
      </c>
      <c r="F119" s="35">
        <f t="shared" si="31"/>
        <v>-57958</v>
      </c>
      <c r="G119" s="35">
        <f t="shared" si="32"/>
        <v>7</v>
      </c>
      <c r="H119" s="32">
        <f t="shared" si="33"/>
        <v>-57951</v>
      </c>
      <c r="I119" s="38" t="s">
        <v>37</v>
      </c>
      <c r="J119" s="30" t="s">
        <v>22</v>
      </c>
      <c r="K119" s="96">
        <v>13</v>
      </c>
      <c r="L119" s="64">
        <v>35.9</v>
      </c>
      <c r="M119" s="64"/>
      <c r="N119" s="64">
        <f>M119-L119</f>
        <v>-35.9</v>
      </c>
      <c r="O119" s="35">
        <f t="shared" si="34"/>
        <v>-1356</v>
      </c>
      <c r="P119" s="36">
        <f>O106</f>
        <v>8344</v>
      </c>
      <c r="Q119" s="37">
        <f t="shared" si="37"/>
        <v>6988</v>
      </c>
      <c r="R119" s="38" t="s">
        <v>37</v>
      </c>
      <c r="S119" s="90"/>
    </row>
    <row r="120" spans="1:19" x14ac:dyDescent="0.3">
      <c r="A120" s="39" t="s">
        <v>23</v>
      </c>
      <c r="B120" s="97">
        <v>14</v>
      </c>
      <c r="C120" s="64">
        <v>5204.6000000000004</v>
      </c>
      <c r="D120" s="64"/>
      <c r="E120" s="40">
        <f t="shared" si="36"/>
        <v>-5204.6000000000004</v>
      </c>
      <c r="F120" s="35">
        <f t="shared" si="31"/>
        <v>-83586</v>
      </c>
      <c r="G120" s="35">
        <f t="shared" si="32"/>
        <v>7</v>
      </c>
      <c r="H120" s="32">
        <f t="shared" si="33"/>
        <v>-83579</v>
      </c>
      <c r="I120" s="38" t="s">
        <v>37</v>
      </c>
      <c r="J120" s="39" t="s">
        <v>23</v>
      </c>
      <c r="K120" s="96">
        <v>14</v>
      </c>
      <c r="L120" s="64">
        <v>12.9</v>
      </c>
      <c r="M120" s="64"/>
      <c r="N120" s="64">
        <f>M120-L120</f>
        <v>-12.9</v>
      </c>
      <c r="O120" s="35">
        <f t="shared" si="34"/>
        <v>-488</v>
      </c>
      <c r="P120" s="36">
        <f>O106</f>
        <v>8344</v>
      </c>
      <c r="Q120" s="37">
        <f t="shared" si="37"/>
        <v>7856</v>
      </c>
      <c r="R120" s="38" t="s">
        <v>37</v>
      </c>
      <c r="S120" s="90"/>
    </row>
    <row r="121" spans="1:19" x14ac:dyDescent="0.3">
      <c r="A121" s="39" t="s">
        <v>24</v>
      </c>
      <c r="B121" s="97">
        <v>15</v>
      </c>
      <c r="C121" s="64">
        <v>125.7</v>
      </c>
      <c r="D121" s="64"/>
      <c r="E121" s="40">
        <f t="shared" si="36"/>
        <v>-125.7</v>
      </c>
      <c r="F121" s="35">
        <f t="shared" si="31"/>
        <v>-2019</v>
      </c>
      <c r="G121" s="35">
        <f t="shared" si="32"/>
        <v>7</v>
      </c>
      <c r="H121" s="32">
        <f t="shared" si="33"/>
        <v>-2012</v>
      </c>
      <c r="I121" s="38" t="s">
        <v>37</v>
      </c>
      <c r="J121" s="30" t="s">
        <v>24</v>
      </c>
      <c r="K121" s="97">
        <v>15</v>
      </c>
      <c r="L121" s="64">
        <v>380.6</v>
      </c>
      <c r="M121" s="64"/>
      <c r="N121" s="40">
        <f>M121-L121</f>
        <v>-380.6</v>
      </c>
      <c r="O121" s="35">
        <f t="shared" si="34"/>
        <v>-14376</v>
      </c>
      <c r="P121" s="36">
        <f>O106</f>
        <v>8344</v>
      </c>
      <c r="Q121" s="37">
        <f t="shared" si="37"/>
        <v>-6032</v>
      </c>
      <c r="R121" s="38" t="s">
        <v>37</v>
      </c>
      <c r="S121" s="90"/>
    </row>
    <row r="122" spans="1:19" x14ac:dyDescent="0.3">
      <c r="A122" s="39" t="s">
        <v>25</v>
      </c>
      <c r="B122" s="96">
        <v>16</v>
      </c>
      <c r="C122" s="64">
        <v>180.9</v>
      </c>
      <c r="D122" s="64"/>
      <c r="E122" s="64">
        <f t="shared" si="36"/>
        <v>-180.9</v>
      </c>
      <c r="F122" s="35">
        <f t="shared" si="31"/>
        <v>-2906</v>
      </c>
      <c r="G122" s="35">
        <f t="shared" si="32"/>
        <v>7</v>
      </c>
      <c r="H122" s="32">
        <f t="shared" si="33"/>
        <v>-2899</v>
      </c>
      <c r="I122" s="38" t="s">
        <v>37</v>
      </c>
      <c r="J122" s="30" t="s">
        <v>40</v>
      </c>
      <c r="K122" s="96">
        <v>16</v>
      </c>
      <c r="L122" s="64">
        <v>51.2</v>
      </c>
      <c r="M122" s="64"/>
      <c r="N122" s="64">
        <f>M122-L122</f>
        <v>-51.2</v>
      </c>
      <c r="O122" s="35">
        <f t="shared" si="34"/>
        <v>-1934</v>
      </c>
      <c r="P122" s="36">
        <f>O106</f>
        <v>8344</v>
      </c>
      <c r="Q122" s="37">
        <f t="shared" si="37"/>
        <v>6410</v>
      </c>
      <c r="R122" s="38" t="s">
        <v>37</v>
      </c>
      <c r="S122" s="90"/>
    </row>
    <row r="123" spans="1:19" x14ac:dyDescent="0.3">
      <c r="A123" s="72" t="s">
        <v>2</v>
      </c>
      <c r="B123" s="73"/>
      <c r="C123" s="64">
        <v>10669.7</v>
      </c>
      <c r="D123" s="64"/>
      <c r="E123" s="64">
        <f t="shared" si="36"/>
        <v>-10669.7</v>
      </c>
      <c r="F123" s="35">
        <f t="shared" si="31"/>
        <v>-171356</v>
      </c>
      <c r="G123" s="35">
        <f t="shared" si="32"/>
        <v>7</v>
      </c>
      <c r="H123" s="32">
        <f t="shared" si="33"/>
        <v>-171349</v>
      </c>
      <c r="I123" s="38" t="s">
        <v>37</v>
      </c>
      <c r="J123" s="72" t="s">
        <v>2</v>
      </c>
      <c r="K123" s="73"/>
      <c r="L123" s="64">
        <v>611.5</v>
      </c>
      <c r="M123" s="64"/>
      <c r="N123" s="64">
        <f>M123-L123</f>
        <v>-611.5</v>
      </c>
      <c r="O123" s="35">
        <f t="shared" si="34"/>
        <v>-23097</v>
      </c>
      <c r="P123" s="36">
        <f>O106</f>
        <v>8344</v>
      </c>
      <c r="Q123" s="37">
        <f t="shared" si="37"/>
        <v>-14753</v>
      </c>
      <c r="R123" s="38" t="s">
        <v>37</v>
      </c>
      <c r="S123" s="90"/>
    </row>
    <row r="124" spans="1:19" ht="15" thickBot="1" x14ac:dyDescent="0.35">
      <c r="A124" s="85" t="s">
        <v>28</v>
      </c>
      <c r="B124" s="86"/>
      <c r="C124" s="86"/>
      <c r="D124" s="87"/>
      <c r="E124" s="58">
        <f>SUM(E108:E123)</f>
        <v>-52865.600000000006</v>
      </c>
      <c r="F124" s="53">
        <f>SUM(F108:F123)</f>
        <v>-848908</v>
      </c>
      <c r="G124" s="53">
        <f>SUM(G108:G123)</f>
        <v>112</v>
      </c>
      <c r="H124" s="53">
        <f>SUM(H108:H123)</f>
        <v>-848796</v>
      </c>
      <c r="I124" s="59"/>
      <c r="J124" s="88" t="s">
        <v>28</v>
      </c>
      <c r="K124" s="89"/>
      <c r="L124" s="89"/>
      <c r="M124" s="89"/>
      <c r="N124" s="54">
        <f>SUM(N108:N123)</f>
        <v>-3368.1</v>
      </c>
      <c r="O124" s="65">
        <f>SUM(O108:O123)</f>
        <v>-127220</v>
      </c>
      <c r="P124" s="56">
        <f>SUM(P108:P123)</f>
        <v>133504</v>
      </c>
      <c r="Q124" s="56">
        <f>SUM(Q108:Q123)</f>
        <v>6284</v>
      </c>
      <c r="R124" s="60"/>
      <c r="S124" s="90"/>
    </row>
    <row r="125" spans="1:19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61"/>
      <c r="L125" s="62"/>
      <c r="M125" s="63"/>
      <c r="N125" s="63"/>
      <c r="O125" s="63"/>
      <c r="P125" s="63"/>
      <c r="Q125" s="63"/>
      <c r="R125" s="61"/>
      <c r="S125" s="90"/>
    </row>
    <row r="126" spans="1:19" x14ac:dyDescent="0.3">
      <c r="I126" s="90"/>
      <c r="J126" s="1"/>
      <c r="K126" s="2"/>
      <c r="L126" s="2"/>
      <c r="M126" s="2"/>
      <c r="N126" s="2"/>
      <c r="O126" s="2"/>
      <c r="P126" s="90"/>
      <c r="Q126" s="90"/>
      <c r="R126" s="90"/>
      <c r="S126" s="90"/>
    </row>
    <row r="127" spans="1:19" x14ac:dyDescent="0.3">
      <c r="I127" s="90"/>
      <c r="J127" s="1"/>
      <c r="K127" s="2"/>
      <c r="L127" s="2"/>
      <c r="M127" s="2"/>
      <c r="N127" s="2"/>
      <c r="O127" s="2"/>
      <c r="P127" s="90"/>
      <c r="Q127" s="90"/>
      <c r="R127" s="90"/>
      <c r="S127" s="90"/>
    </row>
    <row r="128" spans="1:19" x14ac:dyDescent="0.3">
      <c r="I128" s="90"/>
      <c r="J128" s="1"/>
      <c r="K128" s="2"/>
      <c r="L128" s="2"/>
      <c r="M128" s="2"/>
      <c r="N128" s="2"/>
      <c r="O128" s="2"/>
      <c r="P128" s="90"/>
      <c r="Q128" s="90"/>
      <c r="R128" s="90"/>
      <c r="S128" s="90"/>
    </row>
    <row r="129" spans="9:19" x14ac:dyDescent="0.3">
      <c r="I129" s="90"/>
      <c r="J129" s="1"/>
      <c r="K129" s="2"/>
      <c r="L129" s="2"/>
      <c r="M129" s="2"/>
      <c r="N129" s="2"/>
      <c r="O129" s="2"/>
      <c r="P129" s="90"/>
      <c r="Q129" s="90"/>
      <c r="R129" s="90"/>
      <c r="S129" s="90"/>
    </row>
    <row r="130" spans="9:19" x14ac:dyDescent="0.3">
      <c r="I130" s="90"/>
      <c r="J130" s="1"/>
      <c r="K130" s="2"/>
      <c r="L130" s="2"/>
      <c r="M130" s="2"/>
      <c r="N130" s="2"/>
      <c r="O130" s="2"/>
      <c r="P130" s="90"/>
      <c r="Q130" s="90"/>
      <c r="R130" s="90"/>
      <c r="S130" s="90"/>
    </row>
    <row r="131" spans="9:19" x14ac:dyDescent="0.3">
      <c r="I131" s="90"/>
      <c r="J131" s="1"/>
      <c r="K131" s="2"/>
      <c r="L131" s="2"/>
      <c r="M131" s="2"/>
      <c r="N131" s="2"/>
      <c r="O131" s="2"/>
      <c r="P131" s="90"/>
      <c r="Q131" s="90"/>
      <c r="R131" s="90"/>
      <c r="S131" s="90"/>
    </row>
    <row r="132" spans="9:19" x14ac:dyDescent="0.3">
      <c r="I132" s="90"/>
      <c r="J132" s="1"/>
      <c r="K132" s="2"/>
      <c r="L132" s="2"/>
      <c r="M132" s="2"/>
      <c r="N132" s="2"/>
      <c r="O132" s="2"/>
      <c r="P132" s="90"/>
      <c r="Q132" s="90"/>
      <c r="R132" s="90"/>
      <c r="S132" s="90"/>
    </row>
    <row r="133" spans="9:19" x14ac:dyDescent="0.3">
      <c r="I133" s="90"/>
      <c r="J133" s="2"/>
      <c r="K133" s="2"/>
      <c r="L133" s="2"/>
      <c r="M133" s="2"/>
      <c r="N133" s="2"/>
      <c r="O133" s="2"/>
      <c r="P133" s="90"/>
      <c r="Q133" s="90"/>
      <c r="R133" s="90"/>
      <c r="S133" s="90"/>
    </row>
    <row r="134" spans="9:19" x14ac:dyDescent="0.3">
      <c r="I134" s="90"/>
      <c r="J134" s="92"/>
      <c r="K134" s="92"/>
      <c r="L134" s="92"/>
      <c r="M134" s="92"/>
      <c r="N134" s="2"/>
      <c r="O134" s="90"/>
      <c r="P134" s="90"/>
      <c r="Q134" s="90"/>
      <c r="R134" s="90"/>
      <c r="S134" s="90"/>
    </row>
    <row r="135" spans="9:19" x14ac:dyDescent="0.3"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9:19" x14ac:dyDescent="0.3"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9:19" x14ac:dyDescent="0.3">
      <c r="I137" s="90"/>
      <c r="J137" s="93"/>
      <c r="K137" s="91"/>
      <c r="L137" s="91"/>
      <c r="M137" s="91"/>
      <c r="N137" s="91"/>
      <c r="O137" s="91"/>
      <c r="P137" s="90"/>
      <c r="Q137" s="90"/>
      <c r="R137" s="90"/>
      <c r="S137" s="90"/>
    </row>
    <row r="138" spans="9:19" x14ac:dyDescent="0.3">
      <c r="I138" s="90"/>
      <c r="J138" s="91"/>
      <c r="K138" s="91"/>
      <c r="L138" s="7"/>
      <c r="M138" s="7"/>
      <c r="N138" s="7"/>
      <c r="O138" s="7"/>
      <c r="P138" s="6"/>
      <c r="Q138" s="90"/>
      <c r="R138" s="90"/>
      <c r="S138" s="90"/>
    </row>
    <row r="139" spans="9:19" x14ac:dyDescent="0.3">
      <c r="I139" s="90"/>
      <c r="J139" s="1"/>
      <c r="K139" s="2"/>
      <c r="L139" s="5"/>
      <c r="M139" s="5"/>
      <c r="N139" s="5"/>
      <c r="O139" s="5"/>
      <c r="P139" s="6"/>
      <c r="Q139" s="90"/>
      <c r="R139" s="90"/>
      <c r="S139" s="90"/>
    </row>
    <row r="140" spans="9:19" x14ac:dyDescent="0.3">
      <c r="I140" s="90"/>
      <c r="J140" s="1"/>
      <c r="K140" s="2"/>
      <c r="L140" s="5"/>
      <c r="M140" s="5"/>
      <c r="N140" s="5"/>
      <c r="O140" s="5"/>
      <c r="P140" s="6"/>
      <c r="Q140" s="90"/>
      <c r="R140" s="90"/>
      <c r="S140" s="90"/>
    </row>
    <row r="141" spans="9:19" x14ac:dyDescent="0.3">
      <c r="I141" s="90"/>
      <c r="J141" s="1"/>
      <c r="K141" s="2"/>
      <c r="L141" s="5"/>
      <c r="M141" s="5"/>
      <c r="N141" s="5"/>
      <c r="O141" s="5"/>
      <c r="P141" s="6"/>
      <c r="Q141" s="90"/>
      <c r="R141" s="90"/>
      <c r="S141" s="90"/>
    </row>
    <row r="142" spans="9:19" x14ac:dyDescent="0.3">
      <c r="I142" s="90"/>
      <c r="J142" s="1"/>
      <c r="K142" s="2"/>
      <c r="L142" s="5"/>
      <c r="M142" s="5"/>
      <c r="N142" s="5"/>
      <c r="O142" s="5"/>
      <c r="P142" s="6"/>
      <c r="Q142" s="90"/>
      <c r="R142" s="90"/>
      <c r="S142" s="90"/>
    </row>
    <row r="143" spans="9:19" x14ac:dyDescent="0.3">
      <c r="I143" s="90"/>
      <c r="J143" s="1"/>
      <c r="K143" s="2"/>
      <c r="L143" s="5"/>
      <c r="M143" s="5"/>
      <c r="N143" s="5"/>
      <c r="O143" s="5"/>
      <c r="P143" s="6"/>
      <c r="Q143" s="90"/>
      <c r="R143" s="90"/>
      <c r="S143" s="90"/>
    </row>
    <row r="144" spans="9:19" x14ac:dyDescent="0.3">
      <c r="I144" s="90"/>
      <c r="J144" s="1"/>
      <c r="K144" s="2"/>
      <c r="L144" s="5"/>
      <c r="M144" s="5"/>
      <c r="N144" s="5"/>
      <c r="O144" s="5"/>
      <c r="P144" s="6"/>
      <c r="Q144" s="90"/>
      <c r="R144" s="90"/>
      <c r="S144" s="90"/>
    </row>
    <row r="145" spans="9:19" x14ac:dyDescent="0.3">
      <c r="I145" s="90"/>
      <c r="J145" s="1"/>
      <c r="K145" s="2"/>
      <c r="L145" s="5"/>
      <c r="M145" s="5"/>
      <c r="N145" s="5"/>
      <c r="O145" s="5"/>
      <c r="P145" s="6"/>
      <c r="Q145" s="90"/>
      <c r="R145" s="90"/>
      <c r="S145" s="90"/>
    </row>
    <row r="146" spans="9:19" x14ac:dyDescent="0.3">
      <c r="I146" s="90"/>
      <c r="J146" s="1"/>
      <c r="K146" s="2"/>
      <c r="L146" s="5"/>
      <c r="M146" s="5"/>
      <c r="N146" s="5"/>
      <c r="O146" s="5"/>
      <c r="P146" s="6"/>
      <c r="Q146" s="90"/>
      <c r="R146" s="90"/>
      <c r="S146" s="90"/>
    </row>
    <row r="147" spans="9:19" x14ac:dyDescent="0.3">
      <c r="I147" s="90"/>
      <c r="J147" s="1"/>
      <c r="K147" s="2"/>
      <c r="L147" s="5"/>
      <c r="M147" s="5"/>
      <c r="N147" s="5"/>
      <c r="O147" s="5"/>
      <c r="P147" s="6"/>
      <c r="Q147" s="90"/>
      <c r="R147" s="90"/>
      <c r="S147" s="90"/>
    </row>
    <row r="148" spans="9:19" x14ac:dyDescent="0.3">
      <c r="I148" s="90"/>
      <c r="J148" s="1"/>
      <c r="K148" s="2"/>
      <c r="L148" s="5"/>
      <c r="M148" s="5"/>
      <c r="N148" s="5"/>
      <c r="O148" s="5"/>
      <c r="P148" s="6"/>
      <c r="Q148" s="90"/>
      <c r="R148" s="90"/>
      <c r="S148" s="90"/>
    </row>
    <row r="149" spans="9:19" x14ac:dyDescent="0.3">
      <c r="I149" s="90"/>
      <c r="J149" s="1"/>
      <c r="K149" s="2"/>
      <c r="L149" s="5"/>
      <c r="M149" s="5"/>
      <c r="N149" s="5"/>
      <c r="O149" s="5"/>
      <c r="P149" s="6"/>
      <c r="Q149" s="90"/>
      <c r="R149" s="90"/>
      <c r="S149" s="90"/>
    </row>
    <row r="150" spans="9:19" x14ac:dyDescent="0.3">
      <c r="I150" s="90"/>
      <c r="J150" s="1"/>
      <c r="K150" s="2"/>
      <c r="L150" s="5"/>
      <c r="M150" s="5"/>
      <c r="N150" s="5"/>
      <c r="O150" s="5"/>
      <c r="P150" s="6"/>
      <c r="Q150" s="90"/>
      <c r="R150" s="90"/>
      <c r="S150" s="90"/>
    </row>
    <row r="151" spans="9:19" x14ac:dyDescent="0.3">
      <c r="I151" s="90"/>
      <c r="J151" s="1"/>
      <c r="K151" s="2"/>
      <c r="L151" s="5"/>
      <c r="M151" s="5"/>
      <c r="N151" s="5"/>
      <c r="O151" s="5"/>
      <c r="P151" s="6"/>
      <c r="Q151" s="90"/>
      <c r="R151" s="90"/>
      <c r="S151" s="90"/>
    </row>
    <row r="152" spans="9:19" x14ac:dyDescent="0.3">
      <c r="I152" s="90"/>
      <c r="J152" s="1"/>
      <c r="K152" s="2"/>
      <c r="L152" s="5"/>
      <c r="M152" s="5"/>
      <c r="N152" s="5"/>
      <c r="O152" s="5"/>
      <c r="P152" s="6"/>
      <c r="Q152" s="90"/>
      <c r="R152" s="90"/>
      <c r="S152" s="90"/>
    </row>
    <row r="153" spans="9:19" x14ac:dyDescent="0.3">
      <c r="I153" s="90"/>
      <c r="J153" s="1"/>
      <c r="K153" s="2"/>
      <c r="L153" s="5"/>
      <c r="M153" s="5"/>
      <c r="N153" s="5"/>
      <c r="O153" s="5"/>
      <c r="P153" s="6"/>
      <c r="Q153" s="90"/>
      <c r="R153" s="90"/>
      <c r="S153" s="90"/>
    </row>
    <row r="154" spans="9:19" x14ac:dyDescent="0.3">
      <c r="I154" s="90"/>
      <c r="J154" s="2"/>
      <c r="K154" s="2"/>
      <c r="L154" s="5"/>
      <c r="M154" s="5"/>
      <c r="N154" s="5"/>
      <c r="O154" s="5"/>
      <c r="P154" s="6"/>
      <c r="Q154" s="90"/>
      <c r="R154" s="90"/>
      <c r="S154" s="90"/>
    </row>
    <row r="155" spans="9:19" x14ac:dyDescent="0.3">
      <c r="I155" s="90"/>
      <c r="J155" s="90"/>
      <c r="K155" s="90"/>
      <c r="L155" s="6"/>
      <c r="M155" s="6"/>
      <c r="N155" s="6"/>
      <c r="O155" s="6"/>
      <c r="P155" s="6"/>
      <c r="Q155" s="90"/>
      <c r="R155" s="90"/>
      <c r="S155" s="90"/>
    </row>
    <row r="156" spans="9:19" x14ac:dyDescent="0.3">
      <c r="I156" s="90"/>
      <c r="J156" s="90"/>
      <c r="K156" s="90"/>
      <c r="L156" s="6"/>
      <c r="M156" s="6"/>
      <c r="N156" s="6"/>
      <c r="O156" s="6"/>
      <c r="P156" s="6"/>
      <c r="Q156" s="90"/>
      <c r="R156" s="90"/>
      <c r="S156" s="90"/>
    </row>
    <row r="157" spans="9:19" x14ac:dyDescent="0.3"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9:19" x14ac:dyDescent="0.3"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9:19" x14ac:dyDescent="0.3"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9:19" x14ac:dyDescent="0.3"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9:19" x14ac:dyDescent="0.3"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9:19" x14ac:dyDescent="0.3"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9:19" x14ac:dyDescent="0.3"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9:19" x14ac:dyDescent="0.3"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9:19" x14ac:dyDescent="0.3"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9:19" x14ac:dyDescent="0.3"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9:19" x14ac:dyDescent="0.3"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9:19" x14ac:dyDescent="0.3"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9:19" x14ac:dyDescent="0.3"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9:19" x14ac:dyDescent="0.3"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9:19" x14ac:dyDescent="0.3"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9:19" x14ac:dyDescent="0.3"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9:19" x14ac:dyDescent="0.3"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9:19" x14ac:dyDescent="0.3"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9:19" x14ac:dyDescent="0.3"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9:19" x14ac:dyDescent="0.3"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9:19" x14ac:dyDescent="0.3"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9:19" x14ac:dyDescent="0.3"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9:19" x14ac:dyDescent="0.3"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9:19" x14ac:dyDescent="0.3"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9:19" x14ac:dyDescent="0.3"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9:19" x14ac:dyDescent="0.3"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9:19" x14ac:dyDescent="0.3"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9:19" x14ac:dyDescent="0.3"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9:19" x14ac:dyDescent="0.3"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9:19" x14ac:dyDescent="0.3"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9:19" x14ac:dyDescent="0.3"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9:19" x14ac:dyDescent="0.3"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9:19" x14ac:dyDescent="0.3"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9:19" x14ac:dyDescent="0.3"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9:19" x14ac:dyDescent="0.3"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9:19" x14ac:dyDescent="0.3"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9:19" x14ac:dyDescent="0.3"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spans="9:19" x14ac:dyDescent="0.3"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 spans="9:19" x14ac:dyDescent="0.3"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9:19" x14ac:dyDescent="0.3"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 spans="9:19" x14ac:dyDescent="0.3"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9:19" x14ac:dyDescent="0.3"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spans="9:19" x14ac:dyDescent="0.3"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 spans="9:19" x14ac:dyDescent="0.3"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9:19" x14ac:dyDescent="0.3"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 spans="9:19" x14ac:dyDescent="0.3"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spans="9:19" x14ac:dyDescent="0.3"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 spans="9:19" x14ac:dyDescent="0.3"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 spans="9:19" x14ac:dyDescent="0.3"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9:19" x14ac:dyDescent="0.3"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</row>
    <row r="207" spans="9:19" x14ac:dyDescent="0.3"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 spans="9:19" x14ac:dyDescent="0.3"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 spans="9:19" x14ac:dyDescent="0.3"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</row>
    <row r="210" spans="9:19" x14ac:dyDescent="0.3"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spans="9:19" x14ac:dyDescent="0.3"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9:19" x14ac:dyDescent="0.3"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9:19" x14ac:dyDescent="0.3"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9:19" x14ac:dyDescent="0.3"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9:19" x14ac:dyDescent="0.3"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9:19" x14ac:dyDescent="0.3"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9:19" x14ac:dyDescent="0.3"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9:19" x14ac:dyDescent="0.3"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9:19" x14ac:dyDescent="0.3"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9:19" x14ac:dyDescent="0.3"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9:19" x14ac:dyDescent="0.3"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9:19" x14ac:dyDescent="0.3"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9:19" x14ac:dyDescent="0.3"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9:19" x14ac:dyDescent="0.3"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9:19" x14ac:dyDescent="0.3"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9:19" x14ac:dyDescent="0.3"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9:19" x14ac:dyDescent="0.3"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9:19" x14ac:dyDescent="0.3"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9:19" x14ac:dyDescent="0.3"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9:19" x14ac:dyDescent="0.3"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9:19" x14ac:dyDescent="0.3"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9:19" x14ac:dyDescent="0.3"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9:19" x14ac:dyDescent="0.3"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9:19" x14ac:dyDescent="0.3"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9:19" x14ac:dyDescent="0.3"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9:19" x14ac:dyDescent="0.3"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9:19" x14ac:dyDescent="0.3"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9:19" x14ac:dyDescent="0.3"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9:19" x14ac:dyDescent="0.3"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9:19" x14ac:dyDescent="0.3"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9:19" x14ac:dyDescent="0.3"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9:19" x14ac:dyDescent="0.3"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9:19" x14ac:dyDescent="0.3"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9:19" x14ac:dyDescent="0.3"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9:19" x14ac:dyDescent="0.3"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9:19" x14ac:dyDescent="0.3"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9:19" x14ac:dyDescent="0.3"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9:19" x14ac:dyDescent="0.3"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9:19" x14ac:dyDescent="0.3"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9:19" x14ac:dyDescent="0.3"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9:19" x14ac:dyDescent="0.3"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9:19" x14ac:dyDescent="0.3"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9:19" x14ac:dyDescent="0.3"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9:19" x14ac:dyDescent="0.3"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</row>
    <row r="255" spans="9:19" x14ac:dyDescent="0.3"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9:19" x14ac:dyDescent="0.3"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</row>
    <row r="257" spans="9:19" x14ac:dyDescent="0.3"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 spans="9:19" x14ac:dyDescent="0.3"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9:19" x14ac:dyDescent="0.3"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</row>
    <row r="260" spans="9:19" x14ac:dyDescent="0.3"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9:19" x14ac:dyDescent="0.3"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 spans="9:19" x14ac:dyDescent="0.3"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 spans="9:19" x14ac:dyDescent="0.3"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9:19" x14ac:dyDescent="0.3"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 spans="9:19" x14ac:dyDescent="0.3"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9:19" x14ac:dyDescent="0.3"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9:19" x14ac:dyDescent="0.3"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9:19" x14ac:dyDescent="0.3"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9:19" x14ac:dyDescent="0.3"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9:19" x14ac:dyDescent="0.3"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9:19" x14ac:dyDescent="0.3"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9:19" x14ac:dyDescent="0.3"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9:19" x14ac:dyDescent="0.3"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9:19" x14ac:dyDescent="0.3"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9:19" x14ac:dyDescent="0.3"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9:19" x14ac:dyDescent="0.3"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9:19" x14ac:dyDescent="0.3"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9:19" x14ac:dyDescent="0.3"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9:19" x14ac:dyDescent="0.3"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9:19" x14ac:dyDescent="0.3"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9:19" x14ac:dyDescent="0.3"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9:19" x14ac:dyDescent="0.3"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9:19" x14ac:dyDescent="0.3"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</sheetData>
  <mergeCells count="41">
    <mergeCell ref="A124:D124"/>
    <mergeCell ref="J124:M124"/>
    <mergeCell ref="A102:I102"/>
    <mergeCell ref="J102:R102"/>
    <mergeCell ref="A103:I103"/>
    <mergeCell ref="J103:R103"/>
    <mergeCell ref="A123:B123"/>
    <mergeCell ref="J123:K123"/>
    <mergeCell ref="A75:B75"/>
    <mergeCell ref="J75:K75"/>
    <mergeCell ref="A76:D76"/>
    <mergeCell ref="J76:M76"/>
    <mergeCell ref="J100:M100"/>
    <mergeCell ref="A100:D100"/>
    <mergeCell ref="J99:K99"/>
    <mergeCell ref="A99:B99"/>
    <mergeCell ref="J79:R79"/>
    <mergeCell ref="A79:I79"/>
    <mergeCell ref="J78:R78"/>
    <mergeCell ref="A78:I78"/>
    <mergeCell ref="A52:D52"/>
    <mergeCell ref="J52:M52"/>
    <mergeCell ref="J25:K25"/>
    <mergeCell ref="J51:K51"/>
    <mergeCell ref="A55:I55"/>
    <mergeCell ref="J55:R55"/>
    <mergeCell ref="A54:I54"/>
    <mergeCell ref="J54:R54"/>
    <mergeCell ref="A4:I4"/>
    <mergeCell ref="A5:I5"/>
    <mergeCell ref="A25:B25"/>
    <mergeCell ref="J28:M28"/>
    <mergeCell ref="J26:M26"/>
    <mergeCell ref="A26:D26"/>
    <mergeCell ref="J4:R4"/>
    <mergeCell ref="J5:R5"/>
    <mergeCell ref="A30:I30"/>
    <mergeCell ref="J30:R30"/>
    <mergeCell ref="A31:I31"/>
    <mergeCell ref="J31:R31"/>
    <mergeCell ref="A51:B51"/>
  </mergeCells>
  <phoneticPr fontId="3" type="noConversion"/>
  <conditionalFormatting sqref="I10:I26">
    <cfRule type="cellIs" dxfId="19" priority="19" operator="equal">
      <formula>"Unpaid"</formula>
    </cfRule>
    <cfRule type="cellIs" dxfId="18" priority="20" operator="equal">
      <formula>"Paid"</formula>
    </cfRule>
  </conditionalFormatting>
  <conditionalFormatting sqref="R10:R25">
    <cfRule type="cellIs" dxfId="17" priority="17" operator="equal">
      <formula>"Unpaid"</formula>
    </cfRule>
    <cfRule type="cellIs" dxfId="16" priority="18" operator="equal">
      <formula>"Paid"</formula>
    </cfRule>
  </conditionalFormatting>
  <conditionalFormatting sqref="I36:I52">
    <cfRule type="cellIs" dxfId="15" priority="15" operator="equal">
      <formula>"Unpaid"</formula>
    </cfRule>
    <cfRule type="cellIs" dxfId="14" priority="16" operator="equal">
      <formula>"Paid"</formula>
    </cfRule>
  </conditionalFormatting>
  <conditionalFormatting sqref="R36:R51">
    <cfRule type="cellIs" dxfId="13" priority="13" operator="equal">
      <formula>"Unpaid"</formula>
    </cfRule>
    <cfRule type="cellIs" dxfId="12" priority="14" operator="equal">
      <formula>"Paid"</formula>
    </cfRule>
  </conditionalFormatting>
  <conditionalFormatting sqref="I60:I76">
    <cfRule type="cellIs" dxfId="11" priority="11" operator="equal">
      <formula>"Unpaid"</formula>
    </cfRule>
    <cfRule type="cellIs" dxfId="10" priority="12" operator="equal">
      <formula>"Paid"</formula>
    </cfRule>
  </conditionalFormatting>
  <conditionalFormatting sqref="R60:R75">
    <cfRule type="cellIs" dxfId="9" priority="9" operator="equal">
      <formula>"Unpaid"</formula>
    </cfRule>
    <cfRule type="cellIs" dxfId="8" priority="10" operator="equal">
      <formula>"Paid"</formula>
    </cfRule>
  </conditionalFormatting>
  <conditionalFormatting sqref="I84:I100">
    <cfRule type="cellIs" dxfId="7" priority="7" operator="equal">
      <formula>"Unpaid"</formula>
    </cfRule>
    <cfRule type="cellIs" dxfId="6" priority="8" operator="equal">
      <formula>"Paid"</formula>
    </cfRule>
  </conditionalFormatting>
  <conditionalFormatting sqref="R84:R99">
    <cfRule type="cellIs" dxfId="5" priority="5" operator="equal">
      <formula>"Unpaid"</formula>
    </cfRule>
    <cfRule type="cellIs" dxfId="4" priority="6" operator="equal">
      <formula>"Paid"</formula>
    </cfRule>
  </conditionalFormatting>
  <conditionalFormatting sqref="I108:I124">
    <cfRule type="cellIs" dxfId="3" priority="3" operator="equal">
      <formula>"Unpaid"</formula>
    </cfRule>
    <cfRule type="cellIs" dxfId="2" priority="4" operator="equal">
      <formula>"Paid"</formula>
    </cfRule>
  </conditionalFormatting>
  <conditionalFormatting sqref="R108:R123">
    <cfRule type="cellIs" dxfId="1" priority="1" operator="equal">
      <formula>"Unpaid"</formula>
    </cfRule>
    <cfRule type="cellIs" dxfId="0" priority="2" operator="equal">
      <formula>"Paid"</formula>
    </cfRule>
  </conditionalFormatting>
  <dataValidations count="1">
    <dataValidation type="list" allowBlank="1" showInputMessage="1" showErrorMessage="1" sqref="I84:I100 I10:I26 R10:R25 I36:I52 R36:R51 I60:I76 R60:R75 R84:R99 I108:I124 R108:R123" xr:uid="{ED260CE6-1127-4D48-98AE-118F3B94135E}">
      <formula1>"Paid, Unpaid"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andin</dc:creator>
  <cp:lastModifiedBy>m andino</cp:lastModifiedBy>
  <dcterms:created xsi:type="dcterms:W3CDTF">2026-07-24T18:39:03Z</dcterms:created>
  <dcterms:modified xsi:type="dcterms:W3CDTF">2026-10-10T17:49:10Z</dcterms:modified>
</cp:coreProperties>
</file>